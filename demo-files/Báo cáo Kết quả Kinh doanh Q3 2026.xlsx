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est\M365Copilot\m365copilot-overview-lab-general\demo-files\"/>
    </mc:Choice>
  </mc:AlternateContent>
  <xr:revisionPtr revIDLastSave="0" documentId="13_ncr:1_{D5741794-C0B5-4CED-8D88-B0DB3C82D9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ổng quan Q3" sheetId="1" r:id="rId1"/>
    <sheet name="PL_Budget_Actual" sheetId="2" r:id="rId2"/>
    <sheet name="Doanh thu tháng" sheetId="3" r:id="rId3"/>
    <sheet name="Danh sách dự án" sheetId="4" r:id="rId4"/>
    <sheet name="Theo văn phòng" sheetId="5" r:id="rId5"/>
    <sheet name="Benchmar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6" l="1"/>
  <c r="G11" i="6"/>
  <c r="F11" i="6"/>
  <c r="E11" i="6"/>
  <c r="D11" i="6"/>
  <c r="C11" i="6"/>
  <c r="C12" i="6" s="1"/>
  <c r="B11" i="6"/>
  <c r="H10" i="6"/>
  <c r="H12" i="6" s="1"/>
  <c r="G10" i="6"/>
  <c r="G12" i="6" s="1"/>
  <c r="F10" i="6"/>
  <c r="F12" i="6" s="1"/>
  <c r="G11" i="5"/>
  <c r="E11" i="5"/>
  <c r="C11" i="5"/>
  <c r="B11" i="5"/>
  <c r="K10" i="5"/>
  <c r="H10" i="5"/>
  <c r="F10" i="5"/>
  <c r="D10" i="5"/>
  <c r="K9" i="5"/>
  <c r="H9" i="5"/>
  <c r="F9" i="5"/>
  <c r="D9" i="5"/>
  <c r="K8" i="5"/>
  <c r="H8" i="5"/>
  <c r="F8" i="5"/>
  <c r="D8" i="5"/>
  <c r="K7" i="5"/>
  <c r="H7" i="5"/>
  <c r="F7" i="5"/>
  <c r="D7" i="5"/>
  <c r="K6" i="5"/>
  <c r="H6" i="5"/>
  <c r="F6" i="5"/>
  <c r="D6" i="5"/>
  <c r="K5" i="5"/>
  <c r="H5" i="5"/>
  <c r="F5" i="5"/>
  <c r="D5" i="5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F14" i="3"/>
  <c r="E14" i="3"/>
  <c r="B10" i="6" s="1"/>
  <c r="C14" i="3"/>
  <c r="B14" i="3"/>
  <c r="I13" i="3"/>
  <c r="G13" i="3"/>
  <c r="D13" i="3"/>
  <c r="I12" i="3"/>
  <c r="G12" i="3"/>
  <c r="D12" i="3"/>
  <c r="I11" i="3"/>
  <c r="G11" i="3"/>
  <c r="D11" i="3"/>
  <c r="I10" i="3"/>
  <c r="G10" i="3"/>
  <c r="D10" i="3"/>
  <c r="I9" i="3"/>
  <c r="G9" i="3"/>
  <c r="D9" i="3"/>
  <c r="I8" i="3"/>
  <c r="G8" i="3"/>
  <c r="D8" i="3"/>
  <c r="I7" i="3"/>
  <c r="G7" i="3"/>
  <c r="D7" i="3"/>
  <c r="I6" i="3"/>
  <c r="G6" i="3"/>
  <c r="D6" i="3"/>
  <c r="I5" i="3"/>
  <c r="G5" i="3"/>
  <c r="D5" i="3"/>
  <c r="H28" i="2"/>
  <c r="G28" i="2"/>
  <c r="F28" i="2"/>
  <c r="E28" i="2"/>
  <c r="H27" i="2"/>
  <c r="G27" i="2"/>
  <c r="F27" i="2"/>
  <c r="E27" i="2"/>
  <c r="D26" i="2"/>
  <c r="E10" i="6" s="1"/>
  <c r="E12" i="6" s="1"/>
  <c r="C26" i="2"/>
  <c r="B26" i="2"/>
  <c r="H25" i="2"/>
  <c r="G25" i="2"/>
  <c r="F25" i="2"/>
  <c r="E25" i="2"/>
  <c r="H24" i="2"/>
  <c r="G24" i="2"/>
  <c r="F24" i="2"/>
  <c r="E24" i="2"/>
  <c r="H22" i="2"/>
  <c r="G22" i="2"/>
  <c r="F22" i="2"/>
  <c r="E22" i="2"/>
  <c r="G21" i="2"/>
  <c r="E21" i="2"/>
  <c r="H20" i="2"/>
  <c r="G20" i="2"/>
  <c r="F20" i="2"/>
  <c r="E20" i="2"/>
  <c r="D16" i="2"/>
  <c r="C16" i="2"/>
  <c r="B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D10" i="2"/>
  <c r="C10" i="2"/>
  <c r="B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D12" i="1"/>
  <c r="C12" i="1"/>
  <c r="B12" i="1"/>
  <c r="D11" i="1"/>
  <c r="C11" i="1"/>
  <c r="B11" i="1"/>
  <c r="D10" i="1"/>
  <c r="C10" i="1"/>
  <c r="B10" i="1"/>
  <c r="D9" i="1"/>
  <c r="C9" i="1"/>
  <c r="B9" i="1"/>
  <c r="D6" i="1"/>
  <c r="D11" i="5" l="1"/>
  <c r="K11" i="5"/>
  <c r="I14" i="3"/>
  <c r="H13" i="3"/>
  <c r="H12" i="3"/>
  <c r="H11" i="3"/>
  <c r="H10" i="3"/>
  <c r="H9" i="3"/>
  <c r="H8" i="3"/>
  <c r="H7" i="3"/>
  <c r="D14" i="3"/>
  <c r="H5" i="3"/>
  <c r="F12" i="1"/>
  <c r="F10" i="1"/>
  <c r="H11" i="5"/>
  <c r="F11" i="5"/>
  <c r="G14" i="3"/>
  <c r="H6" i="3"/>
  <c r="H14" i="3" s="1"/>
  <c r="G26" i="2"/>
  <c r="E26" i="2"/>
  <c r="D31" i="2"/>
  <c r="F16" i="2"/>
  <c r="E16" i="2"/>
  <c r="H16" i="2"/>
  <c r="G16" i="2"/>
  <c r="C31" i="2"/>
  <c r="C6" i="1"/>
  <c r="E6" i="1" s="1"/>
  <c r="B31" i="2"/>
  <c r="B6" i="1"/>
  <c r="F6" i="1" s="1"/>
  <c r="D30" i="2"/>
  <c r="D17" i="2"/>
  <c r="H10" i="2"/>
  <c r="G10" i="2"/>
  <c r="F10" i="2"/>
  <c r="E10" i="2"/>
  <c r="D5" i="1"/>
  <c r="C17" i="2"/>
  <c r="C30" i="2"/>
  <c r="C5" i="1"/>
  <c r="B17" i="2"/>
  <c r="B30" i="2"/>
  <c r="B5" i="1"/>
  <c r="F11" i="1"/>
  <c r="E11" i="1"/>
  <c r="F9" i="1"/>
  <c r="E9" i="1"/>
  <c r="E31" i="2" l="1"/>
  <c r="G31" i="2"/>
  <c r="E30" i="2"/>
  <c r="F30" i="2"/>
  <c r="G30" i="2"/>
  <c r="H30" i="2"/>
  <c r="E17" i="2"/>
  <c r="F17" i="2"/>
  <c r="G17" i="2"/>
  <c r="H17" i="2"/>
  <c r="D18" i="2"/>
  <c r="D7" i="1"/>
  <c r="E5" i="1"/>
  <c r="F5" i="1"/>
  <c r="C18" i="2"/>
  <c r="C8" i="1" s="1"/>
  <c r="C7" i="1"/>
  <c r="B18" i="2"/>
  <c r="B8" i="1" s="1"/>
  <c r="B7" i="1"/>
  <c r="D10" i="6" l="1"/>
  <c r="D12" i="6" s="1"/>
  <c r="E18" i="2"/>
  <c r="G18" i="2"/>
  <c r="D8" i="1"/>
  <c r="F8" i="1" s="1"/>
  <c r="E7" i="1"/>
  <c r="F7" i="1"/>
</calcChain>
</file>

<file path=xl/sharedStrings.xml><?xml version="1.0" encoding="utf-8"?>
<sst xmlns="http://schemas.openxmlformats.org/spreadsheetml/2006/main" count="898" uniqueCount="414">
  <si>
    <t>Tổng quan kết quả Q3/2026</t>
  </si>
  <si>
    <t>Đơn vị: tỷ đồng, trừ khi ghi chú khác. Tất cả số liệu liên kết từ sheet PL_Budget_Actual.</t>
  </si>
  <si>
    <t>Chỉ tiêu</t>
  </si>
  <si>
    <t>Q2/2026 TH</t>
  </si>
  <si>
    <t>Q3/2026 KH</t>
  </si>
  <si>
    <t>Q3/2026 TH</t>
  </si>
  <si>
    <t>% hoàn thành KH</t>
  </si>
  <si>
    <t>Tăng trưởng so với Q2</t>
  </si>
  <si>
    <t>Tổng doanh thu</t>
  </si>
  <si>
    <t>Tổng chi phí</t>
  </si>
  <si>
    <t>Lợi nhuận trước thuế</t>
  </si>
  <si>
    <t>Biên lợi nhuận trước thuế</t>
  </si>
  <si>
    <t>n/a</t>
  </si>
  <si>
    <t>Số khách hàng đang phục vụ</t>
  </si>
  <si>
    <t>Điểm hài lòng khách hàng (NPS)</t>
  </si>
  <si>
    <t>Số nhân viên cuối kỳ</t>
  </si>
  <si>
    <t>Tỷ lệ nghỉ việc năm hóa</t>
  </si>
  <si>
    <t>Ghi chú: với chỉ tiêu tỷ lệ và NPS, cột tăng trưởng thể hiện chênh lệch điểm.</t>
  </si>
  <si>
    <t>Kết quả hoạt động - Kế hoạch và thực hiện Q3/2026</t>
  </si>
  <si>
    <t>Đơn vị: tỷ đồng, trừ khi ghi chú khác. Chi phí ghi số dương. Số liệu giả tưởng, chỉ dùng cho mục đích đào tạo.</t>
  </si>
  <si>
    <t>Khoản mục</t>
  </si>
  <si>
    <t>TH vs KH</t>
  </si>
  <si>
    <t>% vs KH</t>
  </si>
  <si>
    <t>TH vs Q2</t>
  </si>
  <si>
    <t>% vs Q2</t>
  </si>
  <si>
    <t>Ghi chú</t>
  </si>
  <si>
    <t>DOANH THU VÀ LỢI NHUẬN</t>
  </si>
  <si>
    <t>Doanh thu Tư vấn</t>
  </si>
  <si>
    <t>Doanh thu Triển khai giải pháp</t>
  </si>
  <si>
    <t>Ba dự án lớn nghiệm thu sớm trong tháng 9</t>
  </si>
  <si>
    <t>Doanh thu Dịch vụ vận hành</t>
  </si>
  <si>
    <t>Doanh thu Đào tạo doanh nghiệp</t>
  </si>
  <si>
    <t>Hai khóa đào tạo lớn bị khách hàng hoãn sang Q4</t>
  </si>
  <si>
    <t>Chi phí nhân sự</t>
  </si>
  <si>
    <t>Bao gồm chi phí làm thêm giờ</t>
  </si>
  <si>
    <t>Chi phí thuê thầu phụ</t>
  </si>
  <si>
    <t>Thuê ngoài để bù nhân sự nghỉ việc ở mảng Triển khai giải pháp</t>
  </si>
  <si>
    <t>Chi phí văn phòng và hành chính</t>
  </si>
  <si>
    <t>Chi phí marketing và bán hàng</t>
  </si>
  <si>
    <t>Chi phí CNTT và bản quyền phần mềm</t>
  </si>
  <si>
    <t>điểm %</t>
  </si>
  <si>
    <t>KHÁCH HÀNG</t>
  </si>
  <si>
    <t>Tỷ trọng doanh thu từ khách hàng lớn nhất</t>
  </si>
  <si>
    <t>Khách hàng KH-001 (đã ẩn danh)</t>
  </si>
  <si>
    <t>Khảo sát khách hàng cuối quý</t>
  </si>
  <si>
    <t>NHÂN SỰ</t>
  </si>
  <si>
    <t>Số nhân viên cuối kỳ (người)</t>
  </si>
  <si>
    <t>Số nhân viên nghỉ việc trong quý (người)</t>
  </si>
  <si>
    <t>Tập trung ở văn phòng TP. Hồ Chí Minh</t>
  </si>
  <si>
    <t>Bằng số nghỉ việc trong quý x 4 chia số nhân viên cuối kỳ</t>
  </si>
  <si>
    <t>Giờ làm thêm bình quân / người / tháng</t>
  </si>
  <si>
    <t>Giờ đào tạo bình quân / người trong quý</t>
  </si>
  <si>
    <t>CHỈ SỐ HIỆU QUẢ</t>
  </si>
  <si>
    <t>Doanh thu bình quân / nhân viên (triệu đồng)</t>
  </si>
  <si>
    <t>Tỷ lệ chi phí trên doanh thu</t>
  </si>
  <si>
    <t>Doanh thu và chi phí theo tháng - 9 tháng 2026</t>
  </si>
  <si>
    <t>Đơn vị: tỷ đồng. KH = kế hoạch, TH = thực hiện.</t>
  </si>
  <si>
    <t>Tháng</t>
  </si>
  <si>
    <t>Doanh thu KH</t>
  </si>
  <si>
    <t>Chi phí KH</t>
  </si>
  <si>
    <t>Lợi nhuận KH</t>
  </si>
  <si>
    <t>Doanh thu TH</t>
  </si>
  <si>
    <t>Chi phí TH</t>
  </si>
  <si>
    <t>Lợi nhuận TH</t>
  </si>
  <si>
    <t>Chênh lệch lợi nhuận TH - KH</t>
  </si>
  <si>
    <t>% doanh thu so với KH</t>
  </si>
  <si>
    <t>T1/2026</t>
  </si>
  <si>
    <t>T2/2026</t>
  </si>
  <si>
    <t>T3/2026</t>
  </si>
  <si>
    <t>T4/2026</t>
  </si>
  <si>
    <t>T5/2026</t>
  </si>
  <si>
    <t>T6/2026</t>
  </si>
  <si>
    <t>T7/2026</t>
  </si>
  <si>
    <t>T8/2026</t>
  </si>
  <si>
    <t>T9/2026</t>
  </si>
  <si>
    <t>Lũy kế 9T</t>
  </si>
  <si>
    <t>Danh sách dự án đang triển khai tại 30/09/2026</t>
  </si>
  <si>
    <t>Ngân sách và chi phí: triệu đồng. Mã khách hàng và mã quản lý dự án đã ẩn danh. % thời gian đã qua tính đến 30/09/2026. Số liệu giả tưởng.</t>
  </si>
  <si>
    <t>Mã dự án</t>
  </si>
  <si>
    <t>Văn phòng</t>
  </si>
  <si>
    <t>Mảng dịch vụ</t>
  </si>
  <si>
    <t>Quản lý dự án</t>
  </si>
  <si>
    <t>Khách hàng</t>
  </si>
  <si>
    <t>Ngày bắt đầu</t>
  </si>
  <si>
    <t>Ngày kết thúc KH</t>
  </si>
  <si>
    <t>Ngân sách</t>
  </si>
  <si>
    <t>Chi phí lũy kế</t>
  </si>
  <si>
    <t>% hoàn thành</t>
  </si>
  <si>
    <t>% thời gian đã qua</t>
  </si>
  <si>
    <t>Điểm hài lòng KH (1-5)</t>
  </si>
  <si>
    <t>DA001</t>
  </si>
  <si>
    <t>TP. Hồ Chí Minh</t>
  </si>
  <si>
    <t>Tư vấn</t>
  </si>
  <si>
    <t>PM32</t>
  </si>
  <si>
    <t>KH-001</t>
  </si>
  <si>
    <t>DA002</t>
  </si>
  <si>
    <t>Hải Phòng</t>
  </si>
  <si>
    <t>Triển khai giải pháp</t>
  </si>
  <si>
    <t>PM18</t>
  </si>
  <si>
    <t>KH-255</t>
  </si>
  <si>
    <t>DA003</t>
  </si>
  <si>
    <t>Cần Thơ</t>
  </si>
  <si>
    <t>Dịch vụ vận hành</t>
  </si>
  <si>
    <t>PM35</t>
  </si>
  <si>
    <t>KH-230</t>
  </si>
  <si>
    <t>DA004</t>
  </si>
  <si>
    <t>PM34</t>
  </si>
  <si>
    <t>KH-279</t>
  </si>
  <si>
    <t>DA005</t>
  </si>
  <si>
    <t>PM28</t>
  </si>
  <si>
    <t>DA006</t>
  </si>
  <si>
    <t>Đào tạo doanh nghiệp</t>
  </si>
  <si>
    <t>PM13</t>
  </si>
  <si>
    <t>KH-124</t>
  </si>
  <si>
    <t>DA007</t>
  </si>
  <si>
    <t>Hà Nội</t>
  </si>
  <si>
    <t>PM21</t>
  </si>
  <si>
    <t>KH-076</t>
  </si>
  <si>
    <t>DA008</t>
  </si>
  <si>
    <t>KH-289</t>
  </si>
  <si>
    <t>DA009</t>
  </si>
  <si>
    <t>PM20</t>
  </si>
  <si>
    <t>DA010</t>
  </si>
  <si>
    <t>PM26</t>
  </si>
  <si>
    <t>KH-257</t>
  </si>
  <si>
    <t>DA011</t>
  </si>
  <si>
    <t>PM11</t>
  </si>
  <si>
    <t>DA012</t>
  </si>
  <si>
    <t>Đà Nẵng</t>
  </si>
  <si>
    <t>PM17</t>
  </si>
  <si>
    <t>DA013</t>
  </si>
  <si>
    <t>PM19</t>
  </si>
  <si>
    <t>KH-170</t>
  </si>
  <si>
    <t>DA014</t>
  </si>
  <si>
    <t>PM02</t>
  </si>
  <si>
    <t>KH-267</t>
  </si>
  <si>
    <t>DA015</t>
  </si>
  <si>
    <t>Bình Dương</t>
  </si>
  <si>
    <t>PM27</t>
  </si>
  <si>
    <t>KH-288</t>
  </si>
  <si>
    <t>DA016</t>
  </si>
  <si>
    <t>KH-125</t>
  </si>
  <si>
    <t>DA017</t>
  </si>
  <si>
    <t>PM16</t>
  </si>
  <si>
    <t>KH-283</t>
  </si>
  <si>
    <t>DA018</t>
  </si>
  <si>
    <t>PM29</t>
  </si>
  <si>
    <t>DA019</t>
  </si>
  <si>
    <t>KH-018</t>
  </si>
  <si>
    <t>DA020</t>
  </si>
  <si>
    <t>KH-184</t>
  </si>
  <si>
    <t>DA021</t>
  </si>
  <si>
    <t>PM25</t>
  </si>
  <si>
    <t>DA022</t>
  </si>
  <si>
    <t>KH-168</t>
  </si>
  <si>
    <t>DA023</t>
  </si>
  <si>
    <t>PM04</t>
  </si>
  <si>
    <t>DA024</t>
  </si>
  <si>
    <t>PM31</t>
  </si>
  <si>
    <t>DA025</t>
  </si>
  <si>
    <t>PM07</t>
  </si>
  <si>
    <t>KH-144</t>
  </si>
  <si>
    <t>DA026</t>
  </si>
  <si>
    <t>KH-103</t>
  </si>
  <si>
    <t>DA027</t>
  </si>
  <si>
    <t>PM23</t>
  </si>
  <si>
    <t>DA028</t>
  </si>
  <si>
    <t>KH-065</t>
  </si>
  <si>
    <t>DA029</t>
  </si>
  <si>
    <t>KH-093</t>
  </si>
  <si>
    <t>DA030</t>
  </si>
  <si>
    <t>PM30</t>
  </si>
  <si>
    <t>KH-183</t>
  </si>
  <si>
    <t>DA031</t>
  </si>
  <si>
    <t>KH-268</t>
  </si>
  <si>
    <t>DA032</t>
  </si>
  <si>
    <t>KH-171</t>
  </si>
  <si>
    <t>DA033</t>
  </si>
  <si>
    <t>DA034</t>
  </si>
  <si>
    <t>KH-002</t>
  </si>
  <si>
    <t>DA035</t>
  </si>
  <si>
    <t>KH-222</t>
  </si>
  <si>
    <t>DA036</t>
  </si>
  <si>
    <t>KH-145</t>
  </si>
  <si>
    <t>DA037</t>
  </si>
  <si>
    <t>DA038</t>
  </si>
  <si>
    <t>PM05</t>
  </si>
  <si>
    <t>KH-091</t>
  </si>
  <si>
    <t>DA039</t>
  </si>
  <si>
    <t>PM06</t>
  </si>
  <si>
    <t>KH-011</t>
  </si>
  <si>
    <t>DA040</t>
  </si>
  <si>
    <t>PM12</t>
  </si>
  <si>
    <t>KH-269</t>
  </si>
  <si>
    <t>DA041</t>
  </si>
  <si>
    <t>KH-053</t>
  </si>
  <si>
    <t>DA042</t>
  </si>
  <si>
    <t>PM33</t>
  </si>
  <si>
    <t>KH-059</t>
  </si>
  <si>
    <t>DA043</t>
  </si>
  <si>
    <t>DA044</t>
  </si>
  <si>
    <t>KH-121</t>
  </si>
  <si>
    <t>DA045</t>
  </si>
  <si>
    <t>KH-161</t>
  </si>
  <si>
    <t>DA046</t>
  </si>
  <si>
    <t>KH-025</t>
  </si>
  <si>
    <t>DA047</t>
  </si>
  <si>
    <t>DA048</t>
  </si>
  <si>
    <t>KH-110</t>
  </si>
  <si>
    <t>DA049</t>
  </si>
  <si>
    <t>PM22</t>
  </si>
  <si>
    <t>KH-040</t>
  </si>
  <si>
    <t>DA050</t>
  </si>
  <si>
    <t>KH-175</t>
  </si>
  <si>
    <t>DA051</t>
  </si>
  <si>
    <t>DA052</t>
  </si>
  <si>
    <t>DA053</t>
  </si>
  <si>
    <t>PM01</t>
  </si>
  <si>
    <t>DA054</t>
  </si>
  <si>
    <t>KH-117</t>
  </si>
  <si>
    <t>DA055</t>
  </si>
  <si>
    <t>KH-097</t>
  </si>
  <si>
    <t>DA056</t>
  </si>
  <si>
    <t>KH-174</t>
  </si>
  <si>
    <t>DA057</t>
  </si>
  <si>
    <t>KH-100</t>
  </si>
  <si>
    <t>DA058</t>
  </si>
  <si>
    <t>KH-204</t>
  </si>
  <si>
    <t>DA059</t>
  </si>
  <si>
    <t>PM03</t>
  </si>
  <si>
    <t>DA060</t>
  </si>
  <si>
    <t>DA061</t>
  </si>
  <si>
    <t>KH-082</t>
  </si>
  <si>
    <t>DA062</t>
  </si>
  <si>
    <t>KH-083</t>
  </si>
  <si>
    <t>DA063</t>
  </si>
  <si>
    <t>KH-163</t>
  </si>
  <si>
    <t>DA064</t>
  </si>
  <si>
    <t>KH-101</t>
  </si>
  <si>
    <t>DA065</t>
  </si>
  <si>
    <t>KH-246</t>
  </si>
  <si>
    <t>DA066</t>
  </si>
  <si>
    <t>DA067</t>
  </si>
  <si>
    <t>KH-259</t>
  </si>
  <si>
    <t>DA068</t>
  </si>
  <si>
    <t>KH-150</t>
  </si>
  <si>
    <t>DA069</t>
  </si>
  <si>
    <t>KH-129</t>
  </si>
  <si>
    <t>DA070</t>
  </si>
  <si>
    <t>DA071</t>
  </si>
  <si>
    <t>DA072</t>
  </si>
  <si>
    <t>KH-203</t>
  </si>
  <si>
    <t>DA073</t>
  </si>
  <si>
    <t>KH-057</t>
  </si>
  <si>
    <t>DA074</t>
  </si>
  <si>
    <t>KH-115</t>
  </si>
  <si>
    <t>DA075</t>
  </si>
  <si>
    <t>KH-146</t>
  </si>
  <si>
    <t>DA076</t>
  </si>
  <si>
    <t>PM10</t>
  </si>
  <si>
    <t>KH-243</t>
  </si>
  <si>
    <t>DA077</t>
  </si>
  <si>
    <t>PM36</t>
  </si>
  <si>
    <t>DA078</t>
  </si>
  <si>
    <t>KH-006</t>
  </si>
  <si>
    <t>DA079</t>
  </si>
  <si>
    <t>KH-021</t>
  </si>
  <si>
    <t>DA080</t>
  </si>
  <si>
    <t>KH-221</t>
  </si>
  <si>
    <t>DA081</t>
  </si>
  <si>
    <t>KH-209</t>
  </si>
  <si>
    <t>DA082</t>
  </si>
  <si>
    <t>KH-287</t>
  </si>
  <si>
    <t>DA083</t>
  </si>
  <si>
    <t>KH-045</t>
  </si>
  <si>
    <t>DA084</t>
  </si>
  <si>
    <t>DA085</t>
  </si>
  <si>
    <t>KH-260</t>
  </si>
  <si>
    <t>DA086</t>
  </si>
  <si>
    <t>KH-031</t>
  </si>
  <si>
    <t>DA087</t>
  </si>
  <si>
    <t>KH-274</t>
  </si>
  <si>
    <t>DA088</t>
  </si>
  <si>
    <t>DA089</t>
  </si>
  <si>
    <t>PM15</t>
  </si>
  <si>
    <t>DA090</t>
  </si>
  <si>
    <t>DA091</t>
  </si>
  <si>
    <t>DA092</t>
  </si>
  <si>
    <t>KH-070</t>
  </si>
  <si>
    <t>DA093</t>
  </si>
  <si>
    <t>KH-219</t>
  </si>
  <si>
    <t>DA094</t>
  </si>
  <si>
    <t>KH-189</t>
  </si>
  <si>
    <t>DA095</t>
  </si>
  <si>
    <t>KH-156</t>
  </si>
  <si>
    <t>DA096</t>
  </si>
  <si>
    <t>DA097</t>
  </si>
  <si>
    <t>PM08</t>
  </si>
  <si>
    <t>DA098</t>
  </si>
  <si>
    <t>KH-199</t>
  </si>
  <si>
    <t>DA099</t>
  </si>
  <si>
    <t>KH-054</t>
  </si>
  <si>
    <t>DA100</t>
  </si>
  <si>
    <t>KH-046</t>
  </si>
  <si>
    <t>DA101</t>
  </si>
  <si>
    <t>KH-224</t>
  </si>
  <si>
    <t>DA102</t>
  </si>
  <si>
    <t>KH-261</t>
  </si>
  <si>
    <t>DA103</t>
  </si>
  <si>
    <t>KH-017</t>
  </si>
  <si>
    <t>DA104</t>
  </si>
  <si>
    <t>KH-047</t>
  </si>
  <si>
    <t>DA105</t>
  </si>
  <si>
    <t>DA106</t>
  </si>
  <si>
    <t>KH-108</t>
  </si>
  <si>
    <t>DA107</t>
  </si>
  <si>
    <t>KH-149</t>
  </si>
  <si>
    <t>DA108</t>
  </si>
  <si>
    <t>KH-012</t>
  </si>
  <si>
    <t>DA109</t>
  </si>
  <si>
    <t>KH-052</t>
  </si>
  <si>
    <t>DA110</t>
  </si>
  <si>
    <t>PM09</t>
  </si>
  <si>
    <t>DA111</t>
  </si>
  <si>
    <t>DA112</t>
  </si>
  <si>
    <t>KH-084</t>
  </si>
  <si>
    <t>DA113</t>
  </si>
  <si>
    <t>PM14</t>
  </si>
  <si>
    <t>KH-212</t>
  </si>
  <si>
    <t>DA114</t>
  </si>
  <si>
    <t>KH-155</t>
  </si>
  <si>
    <t>DA115</t>
  </si>
  <si>
    <t>KH-232</t>
  </si>
  <si>
    <t>DA116</t>
  </si>
  <si>
    <t>DA117</t>
  </si>
  <si>
    <t>DA118</t>
  </si>
  <si>
    <t>KH-086</t>
  </si>
  <si>
    <t>DA119</t>
  </si>
  <si>
    <t>PM24</t>
  </si>
  <si>
    <t>KH-202</t>
  </si>
  <si>
    <t>DA120</t>
  </si>
  <si>
    <t>KH-158</t>
  </si>
  <si>
    <t>DA121</t>
  </si>
  <si>
    <t>KH-187</t>
  </si>
  <si>
    <t>DA122</t>
  </si>
  <si>
    <t>KH-089</t>
  </si>
  <si>
    <t>DA123</t>
  </si>
  <si>
    <t>KH-180</t>
  </si>
  <si>
    <t>DA124</t>
  </si>
  <si>
    <t>KH-206</t>
  </si>
  <si>
    <t>DA125</t>
  </si>
  <si>
    <t>DA126</t>
  </si>
  <si>
    <t>DA127</t>
  </si>
  <si>
    <t>DA128</t>
  </si>
  <si>
    <t>DA129</t>
  </si>
  <si>
    <t>KH-218</t>
  </si>
  <si>
    <t>DA130</t>
  </si>
  <si>
    <t>DA131</t>
  </si>
  <si>
    <t>KH-019</t>
  </si>
  <si>
    <t>DA132</t>
  </si>
  <si>
    <t>KH-258</t>
  </si>
  <si>
    <t>DA133</t>
  </si>
  <si>
    <t>DA134</t>
  </si>
  <si>
    <t>DA135</t>
  </si>
  <si>
    <t>KH-120</t>
  </si>
  <si>
    <t>DA136</t>
  </si>
  <si>
    <t>DA137</t>
  </si>
  <si>
    <t>DA138</t>
  </si>
  <si>
    <t>KH-051</t>
  </si>
  <si>
    <t>DA139</t>
  </si>
  <si>
    <t>KH-039</t>
  </si>
  <si>
    <t>DA140</t>
  </si>
  <si>
    <t>KH-281</t>
  </si>
  <si>
    <t>DA141</t>
  </si>
  <si>
    <t>KH-050</t>
  </si>
  <si>
    <t>DA142</t>
  </si>
  <si>
    <t>KH-114</t>
  </si>
  <si>
    <t>DA143</t>
  </si>
  <si>
    <t>DA144</t>
  </si>
  <si>
    <t>DA145</t>
  </si>
  <si>
    <t>KH-066</t>
  </si>
  <si>
    <t>DA146</t>
  </si>
  <si>
    <t>DA147</t>
  </si>
  <si>
    <t>DA148</t>
  </si>
  <si>
    <t>DA149</t>
  </si>
  <si>
    <t>DA150</t>
  </si>
  <si>
    <t>KH-234</t>
  </si>
  <si>
    <t>Hiệu quả theo văn phòng - Q3/2026</t>
  </si>
  <si>
    <t>Đơn vị: tỷ đồng, trừ khi ghi chú khác. Số dự án lấy công thức từ sheet Danh sách dự án.</t>
  </si>
  <si>
    <t>Số nhân viên</t>
  </si>
  <si>
    <t>Nghỉ việc Q3</t>
  </si>
  <si>
    <t>Doanh thu Q3</t>
  </si>
  <si>
    <t>Doanh thu / nhân viên (triệu đồng)</t>
  </si>
  <si>
    <t>Chi phí Q3</t>
  </si>
  <si>
    <t>Biên lợi nhuận</t>
  </si>
  <si>
    <t>NPS</t>
  </si>
  <si>
    <t>Giờ làm thêm / người / tháng</t>
  </si>
  <si>
    <t>Số dự án đang chạy</t>
  </si>
  <si>
    <t>Toàn công ty</t>
  </si>
  <si>
    <t>So sánh với nhóm doanh nghiệp dịch vụ cùng quy mô - 9 tháng 2026</t>
  </si>
  <si>
    <t>Nguồn: tổng hợp nội bộ từ báo cáo công bố và khảo sát ngành (đã ẩn danh). Số liệu giả tưởng, chỉ dùng cho mục đích đào tạo.</t>
  </si>
  <si>
    <t>Doanh nghiệp</t>
  </si>
  <si>
    <t>Doanh thu 9 tháng (tỷ đồng)</t>
  </si>
  <si>
    <t>Tăng trưởng doanh thu so với cùng kỳ</t>
  </si>
  <si>
    <t>Giờ đào tạo / người / năm</t>
  </si>
  <si>
    <t>Doanh nghiệp cùng ngành A</t>
  </si>
  <si>
    <t>Doanh nghiệp cùng ngành B</t>
  </si>
  <si>
    <t>Doanh nghiệp cùng ngành C</t>
  </si>
  <si>
    <t>Doanh nghiệp cùng ngành D</t>
  </si>
  <si>
    <t>Doanh nghiệp cùng ngành E</t>
  </si>
  <si>
    <t>Công ty của chúng ta</t>
  </si>
  <si>
    <t>Trung vị nhóm so sánh (A-E)</t>
  </si>
  <si>
    <t>Chênh lệch so với trung vị</t>
  </si>
  <si>
    <t>Ghi chú: giờ đào tạo của Công ty năm hóa từ số liệu Q3; tăng trưởng doanh thu so với cùng kỳ (8%) do Phòng Tài chính cung cấp.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</si>
</sst>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-&quot;"/>
    <numFmt numFmtId="165" formatCode="0.0%;\(0.0%\);&quot;-&quot;"/>
    <numFmt numFmtId="166" formatCode="#,##0.0;\(#,##0.0\);&quot;-&quot;"/>
    <numFmt numFmtId="168" formatCode="dd/mm/yyyy"/>
    <numFmt numFmtId="169" formatCode="0.0"/>
    <numFmt numFmtId="170" formatCode="\+0.0%;\-0.0%;&quot;-&quot;"/>
    <numFmt numFmtId="171" formatCode="\+0;\-0;&quot;-&quot;"/>
  </numFmts>
  <fonts count="11" x14ac:knownFonts="1">
    <font>
      <sz val="11"/>
      <color theme="1"/>
      <name val="Calibri"/>
      <family val="2"/>
      <scheme val="minor"/>
    </font>
    <font>
      <b/>
      <sz val="14"/>
      <color rgb="FF0B3D5C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b/>
      <sz val="11"/>
      <name val="Arial"/>
    </font>
    <font>
      <sz val="11"/>
      <color rgb="FF0000FF"/>
      <name val="Arial"/>
    </font>
    <font>
      <sz val="11"/>
      <name val="Arial"/>
    </font>
    <font>
      <sz val="11"/>
      <color rgb="FF008000"/>
      <name val="Arial"/>
    </font>
    <font>
      <b/>
      <sz val="11"/>
      <color rgb="FF008000"/>
      <name val="Arial"/>
    </font>
    <font>
      <b/>
      <sz val="11"/>
      <color rgb="FF0000FF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5C"/>
      </patternFill>
    </fill>
    <fill>
      <patternFill patternType="solid">
        <fgColor rgb="FFE8EE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0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164" fontId="7" fillId="0" borderId="0" xfId="0" applyNumberFormat="1" applyFont="1"/>
    <xf numFmtId="165" fontId="10" fillId="0" borderId="0" xfId="0" applyNumberFormat="1" applyFont="1"/>
    <xf numFmtId="165" fontId="7" fillId="0" borderId="0" xfId="0" applyNumberFormat="1" applyFont="1"/>
    <xf numFmtId="0" fontId="10" fillId="0" borderId="0" xfId="0" applyFont="1" applyAlignment="1">
      <alignment horizontal="right"/>
    </xf>
    <xf numFmtId="170" fontId="10" fillId="0" borderId="0" xfId="0" applyNumberFormat="1" applyFont="1"/>
    <xf numFmtId="171" fontId="10" fillId="0" borderId="0" xfId="0" applyNumberFormat="1" applyFont="1"/>
    <xf numFmtId="0" fontId="4" fillId="3" borderId="0" xfId="0" applyFont="1" applyFill="1"/>
    <xf numFmtId="0" fontId="10" fillId="3" borderId="0" xfId="0" applyFont="1" applyFill="1"/>
    <xf numFmtId="164" fontId="5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4" fillId="0" borderId="0" xfId="0" applyFont="1"/>
    <xf numFmtId="164" fontId="4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165" fontId="4" fillId="0" borderId="0" xfId="0" applyNumberFormat="1" applyFont="1"/>
    <xf numFmtId="168" fontId="5" fillId="0" borderId="0" xfId="0" applyNumberFormat="1" applyFont="1"/>
    <xf numFmtId="9" fontId="5" fillId="0" borderId="0" xfId="0" applyNumberFormat="1" applyFont="1"/>
    <xf numFmtId="9" fontId="6" fillId="0" borderId="0" xfId="0" applyNumberFormat="1" applyFont="1"/>
    <xf numFmtId="169" fontId="5" fillId="0" borderId="0" xfId="0" applyNumberFormat="1" applyFont="1"/>
    <xf numFmtId="166" fontId="4" fillId="0" borderId="0" xfId="0" applyNumberFormat="1" applyFont="1"/>
    <xf numFmtId="0" fontId="4" fillId="4" borderId="0" xfId="0" applyFont="1" applyFill="1"/>
    <xf numFmtId="164" fontId="8" fillId="4" borderId="0" xfId="0" applyNumberFormat="1" applyFont="1" applyFill="1"/>
    <xf numFmtId="165" fontId="9" fillId="4" borderId="0" xfId="0" applyNumberFormat="1" applyFont="1" applyFill="1"/>
    <xf numFmtId="165" fontId="8" fillId="4" borderId="0" xfId="0" applyNumberFormat="1" applyFont="1" applyFill="1"/>
    <xf numFmtId="164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anhThuThang" displayName="DoanhThuThang" ref="A4:I13">
  <autoFilter ref="A4:I13" xr:uid="{00000000-0009-0000-0100-000001000000}"/>
  <tableColumns count="9">
    <tableColumn id="1" xr3:uid="{00000000-0010-0000-0000-000001000000}" name="Tháng"/>
    <tableColumn id="2" xr3:uid="{00000000-0010-0000-0000-000002000000}" name="Doanh thu KH"/>
    <tableColumn id="3" xr3:uid="{00000000-0010-0000-0000-000003000000}" name="Chi phí KH"/>
    <tableColumn id="4" xr3:uid="{00000000-0010-0000-0000-000004000000}" name="Lợi nhuận KH"/>
    <tableColumn id="5" xr3:uid="{00000000-0010-0000-0000-000005000000}" name="Doanh thu TH"/>
    <tableColumn id="6" xr3:uid="{00000000-0010-0000-0000-000006000000}" name="Chi phí TH"/>
    <tableColumn id="7" xr3:uid="{00000000-0010-0000-0000-000007000000}" name="Lợi nhuận TH"/>
    <tableColumn id="8" xr3:uid="{00000000-0010-0000-0000-000008000000}" name="Chênh lệch lợi nhuận TH - KH"/>
    <tableColumn id="9" xr3:uid="{00000000-0010-0000-0000-000009000000}" name="% doanh thu so với K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nhSachDuAn" displayName="DanhSachDuAn" ref="A4:L154">
  <autoFilter ref="A4:L154" xr:uid="{00000000-0009-0000-0100-000002000000}"/>
  <tableColumns count="12">
    <tableColumn id="1" xr3:uid="{00000000-0010-0000-0100-000001000000}" name="Mã dự án"/>
    <tableColumn id="2" xr3:uid="{00000000-0010-0000-0100-000002000000}" name="Văn phòng"/>
    <tableColumn id="3" xr3:uid="{00000000-0010-0000-0100-000003000000}" name="Mảng dịch vụ"/>
    <tableColumn id="4" xr3:uid="{00000000-0010-0000-0100-000004000000}" name="Quản lý dự án"/>
    <tableColumn id="5" xr3:uid="{00000000-0010-0000-0100-000005000000}" name="Khách hàng"/>
    <tableColumn id="6" xr3:uid="{00000000-0010-0000-0100-000006000000}" name="Ngày bắt đầu"/>
    <tableColumn id="7" xr3:uid="{00000000-0010-0000-0100-000007000000}" name="Ngày kết thúc KH"/>
    <tableColumn id="8" xr3:uid="{00000000-0010-0000-0100-000008000000}" name="Ngân sách"/>
    <tableColumn id="9" xr3:uid="{00000000-0010-0000-0100-000009000000}" name="Chi phí lũy kế"/>
    <tableColumn id="10" xr3:uid="{00000000-0010-0000-0100-00000A000000}" name="% hoàn thành"/>
    <tableColumn id="11" xr3:uid="{00000000-0010-0000-0100-00000B000000}" name="% thời gian đã qua"/>
    <tableColumn id="12" xr3:uid="{00000000-0010-0000-0100-00000C000000}" name="Điểm hài lòng KH (1-5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eoVanPhong" displayName="TheoVanPhong" ref="A4:K10">
  <autoFilter ref="A4:K10" xr:uid="{00000000-0009-0000-0100-000003000000}"/>
  <tableColumns count="11">
    <tableColumn id="1" xr3:uid="{00000000-0010-0000-0200-000001000000}" name="Văn phòng"/>
    <tableColumn id="2" xr3:uid="{00000000-0010-0000-0200-000002000000}" name="Số nhân viên"/>
    <tableColumn id="3" xr3:uid="{00000000-0010-0000-0200-000003000000}" name="Nghỉ việc Q3"/>
    <tableColumn id="4" xr3:uid="{00000000-0010-0000-0200-000004000000}" name="Tỷ lệ nghỉ việc năm hóa"/>
    <tableColumn id="5" xr3:uid="{00000000-0010-0000-0200-000005000000}" name="Doanh thu Q3"/>
    <tableColumn id="6" xr3:uid="{00000000-0010-0000-0200-000006000000}" name="Doanh thu / nhân viên (triệu đồng)"/>
    <tableColumn id="7" xr3:uid="{00000000-0010-0000-0200-000007000000}" name="Chi phí Q3"/>
    <tableColumn id="8" xr3:uid="{00000000-0010-0000-0200-000008000000}" name="Biên lợi nhuận"/>
    <tableColumn id="9" xr3:uid="{00000000-0010-0000-0200-000009000000}" name="NPS"/>
    <tableColumn id="10" xr3:uid="{00000000-0010-0000-0200-00000A000000}" name="Giờ làm thêm / người / tháng"/>
    <tableColumn id="11" xr3:uid="{00000000-0010-0000-0200-00000B000000}" name="Số dự án đang chạ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nchmark" displayName="Benchmark" ref="A4:H10">
  <autoFilter ref="A4:H10" xr:uid="{00000000-0009-0000-0100-000004000000}"/>
  <tableColumns count="8">
    <tableColumn id="1" xr3:uid="{00000000-0010-0000-0300-000001000000}" name="Doanh nghiệp"/>
    <tableColumn id="2" xr3:uid="{00000000-0010-0000-0300-000002000000}" name="Doanh thu 9 tháng (tỷ đồng)"/>
    <tableColumn id="3" xr3:uid="{00000000-0010-0000-0300-000003000000}" name="Tăng trưởng doanh thu so với cùng kỳ"/>
    <tableColumn id="4" xr3:uid="{00000000-0010-0000-0300-000004000000}" name="Biên lợi nhuận trước thuế"/>
    <tableColumn id="5" xr3:uid="{00000000-0010-0000-0300-000005000000}" name="Tỷ lệ nghỉ việc năm hóa"/>
    <tableColumn id="6" xr3:uid="{00000000-0010-0000-0300-000006000000}" name="NPS"/>
    <tableColumn id="7" xr3:uid="{00000000-0010-0000-0300-000007000000}" name="Giờ đào tạo / người / năm"/>
    <tableColumn id="8" xr3:uid="{00000000-0010-0000-0300-000008000000}" name="Tỷ trọng doanh thu từ khách hàng lớn nhấ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4.4" x14ac:dyDescent="0.3"/>
  <cols>
    <col min="1" max="1" width="34" customWidth="1"/>
    <col min="2" max="4" width="13" customWidth="1"/>
    <col min="5" max="5" width="16" customWidth="1"/>
    <col min="6" max="6" width="20" customWidth="1"/>
  </cols>
  <sheetData>
    <row r="1" spans="1:6" ht="17.399999999999999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ht="27.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5" t="s">
        <v>8</v>
      </c>
      <c r="B5" s="6">
        <f>PL_Budget_Actual!B10</f>
        <v>418</v>
      </c>
      <c r="C5" s="6">
        <f>PL_Budget_Actual!C10</f>
        <v>436</v>
      </c>
      <c r="D5" s="6">
        <f>PL_Budget_Actual!D10</f>
        <v>432</v>
      </c>
      <c r="E5" s="7">
        <f>IFERROR(D5/C5,0)</f>
        <v>0.99082568807339455</v>
      </c>
      <c r="F5" s="7">
        <f>IFERROR(D5/B5-1,0)</f>
        <v>3.3492822966507241E-2</v>
      </c>
    </row>
    <row r="6" spans="1:6" x14ac:dyDescent="0.3">
      <c r="A6" s="5" t="s">
        <v>9</v>
      </c>
      <c r="B6" s="6">
        <f>PL_Budget_Actual!B16</f>
        <v>317</v>
      </c>
      <c r="C6" s="6">
        <f>PL_Budget_Actual!C16</f>
        <v>330</v>
      </c>
      <c r="D6" s="6">
        <f>PL_Budget_Actual!D16</f>
        <v>348</v>
      </c>
      <c r="E6" s="7">
        <f>IFERROR(D6/C6,0)</f>
        <v>1.0545454545454545</v>
      </c>
      <c r="F6" s="7">
        <f>IFERROR(D6/B6-1,0)</f>
        <v>9.7791798107255579E-2</v>
      </c>
    </row>
    <row r="7" spans="1:6" x14ac:dyDescent="0.3">
      <c r="A7" s="5" t="s">
        <v>10</v>
      </c>
      <c r="B7" s="6">
        <f>PL_Budget_Actual!B17</f>
        <v>101</v>
      </c>
      <c r="C7" s="6">
        <f>PL_Budget_Actual!C17</f>
        <v>106</v>
      </c>
      <c r="D7" s="6">
        <f>PL_Budget_Actual!D17</f>
        <v>84</v>
      </c>
      <c r="E7" s="7">
        <f>IFERROR(D7/C7,0)</f>
        <v>0.79245283018867929</v>
      </c>
      <c r="F7" s="7">
        <f>IFERROR(D7/B7-1,0)</f>
        <v>-0.16831683168316836</v>
      </c>
    </row>
    <row r="8" spans="1:6" x14ac:dyDescent="0.3">
      <c r="A8" s="5" t="s">
        <v>11</v>
      </c>
      <c r="B8" s="8">
        <f>PL_Budget_Actual!B18</f>
        <v>0.24162679425837322</v>
      </c>
      <c r="C8" s="8">
        <f>PL_Budget_Actual!C18</f>
        <v>0.24311926605504589</v>
      </c>
      <c r="D8" s="8">
        <f>PL_Budget_Actual!D18</f>
        <v>0.19444444444444445</v>
      </c>
      <c r="E8" s="9" t="s">
        <v>12</v>
      </c>
      <c r="F8" s="10">
        <f>D8-B8</f>
        <v>-4.718234981392877E-2</v>
      </c>
    </row>
    <row r="9" spans="1:6" x14ac:dyDescent="0.3">
      <c r="A9" s="5" t="s">
        <v>13</v>
      </c>
      <c r="B9" s="6">
        <f>PL_Budget_Actual!B20</f>
        <v>286</v>
      </c>
      <c r="C9" s="6">
        <f>PL_Budget_Actual!C20</f>
        <v>300</v>
      </c>
      <c r="D9" s="6">
        <f>PL_Budget_Actual!D20</f>
        <v>291</v>
      </c>
      <c r="E9" s="7">
        <f>IFERROR(D9/C9,0)</f>
        <v>0.97</v>
      </c>
      <c r="F9" s="7">
        <f>IFERROR(D9/B9-1,0)</f>
        <v>1.7482517482517501E-2</v>
      </c>
    </row>
    <row r="10" spans="1:6" x14ac:dyDescent="0.3">
      <c r="A10" s="5" t="s">
        <v>14</v>
      </c>
      <c r="B10" s="6">
        <f>PL_Budget_Actual!B22</f>
        <v>41</v>
      </c>
      <c r="C10" s="6">
        <f>PL_Budget_Actual!C22</f>
        <v>45</v>
      </c>
      <c r="D10" s="6">
        <f>PL_Budget_Actual!D22</f>
        <v>36</v>
      </c>
      <c r="E10" s="9" t="s">
        <v>12</v>
      </c>
      <c r="F10" s="11">
        <f>D10-B10</f>
        <v>-5</v>
      </c>
    </row>
    <row r="11" spans="1:6" x14ac:dyDescent="0.3">
      <c r="A11" s="5" t="s">
        <v>15</v>
      </c>
      <c r="B11" s="6">
        <f>PL_Budget_Actual!B24</f>
        <v>1185</v>
      </c>
      <c r="C11" s="6">
        <f>PL_Budget_Actual!C24</f>
        <v>1220</v>
      </c>
      <c r="D11" s="6">
        <f>PL_Budget_Actual!D24</f>
        <v>1162</v>
      </c>
      <c r="E11" s="7">
        <f>IFERROR(D11/C11,0)</f>
        <v>0.95245901639344266</v>
      </c>
      <c r="F11" s="7">
        <f>IFERROR(D11/B11-1,0)</f>
        <v>-1.940928270042197E-2</v>
      </c>
    </row>
    <row r="12" spans="1:6" x14ac:dyDescent="0.3">
      <c r="A12" s="5" t="s">
        <v>16</v>
      </c>
      <c r="B12" s="8">
        <f>PL_Budget_Actual!B26</f>
        <v>0.14852320675105485</v>
      </c>
      <c r="C12" s="8">
        <f>PL_Budget_Actual!C26</f>
        <v>0.11475409836065574</v>
      </c>
      <c r="D12" s="8">
        <f>PL_Budget_Actual!D26</f>
        <v>0.19965576592082615</v>
      </c>
      <c r="E12" s="9" t="s">
        <v>12</v>
      </c>
      <c r="F12" s="10">
        <f>D12-B12</f>
        <v>5.1132559169771302E-2</v>
      </c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3" t="s">
        <v>17</v>
      </c>
      <c r="B14" s="2"/>
      <c r="C14" s="2"/>
      <c r="D14" s="2"/>
      <c r="E14" s="2"/>
      <c r="F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4" customWidth="1"/>
    <col min="2" max="4" width="13" customWidth="1"/>
    <col min="5" max="5" width="12" customWidth="1"/>
    <col min="6" max="6" width="10" customWidth="1"/>
    <col min="7" max="7" width="12" customWidth="1"/>
    <col min="8" max="8" width="10" customWidth="1"/>
    <col min="9" max="9" width="58" customWidth="1"/>
  </cols>
  <sheetData>
    <row r="1" spans="1:9" ht="17.399999999999999" x14ac:dyDescent="0.3">
      <c r="A1" s="1" t="s">
        <v>18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 t="s">
        <v>19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4" t="s">
        <v>20</v>
      </c>
      <c r="B4" s="4" t="s">
        <v>3</v>
      </c>
      <c r="C4" s="4" t="s">
        <v>4</v>
      </c>
      <c r="D4" s="4" t="s">
        <v>5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</row>
    <row r="5" spans="1:9" x14ac:dyDescent="0.3">
      <c r="A5" s="12" t="s">
        <v>26</v>
      </c>
      <c r="B5" s="13"/>
      <c r="C5" s="13"/>
      <c r="D5" s="13"/>
      <c r="E5" s="13"/>
      <c r="F5" s="13"/>
      <c r="G5" s="13"/>
      <c r="H5" s="13"/>
      <c r="I5" s="13"/>
    </row>
    <row r="6" spans="1:9" x14ac:dyDescent="0.3">
      <c r="A6" s="5" t="s">
        <v>27</v>
      </c>
      <c r="B6" s="14">
        <v>120</v>
      </c>
      <c r="C6" s="14">
        <v>125</v>
      </c>
      <c r="D6" s="14">
        <v>121</v>
      </c>
      <c r="E6" s="15">
        <f t="shared" ref="E6:E18" si="0">D6-C6</f>
        <v>-4</v>
      </c>
      <c r="F6" s="16">
        <f t="shared" ref="F6:F17" si="1">IFERROR(D6/C6-1,0)</f>
        <v>-3.2000000000000028E-2</v>
      </c>
      <c r="G6" s="15">
        <f t="shared" ref="G6:G18" si="2">D6-B6</f>
        <v>1</v>
      </c>
      <c r="H6" s="16">
        <f t="shared" ref="H6:H17" si="3">IFERROR(D6/B6-1,0)</f>
        <v>8.3333333333333037E-3</v>
      </c>
      <c r="I6" s="3"/>
    </row>
    <row r="7" spans="1:9" x14ac:dyDescent="0.3">
      <c r="A7" s="5" t="s">
        <v>28</v>
      </c>
      <c r="B7" s="14">
        <v>166</v>
      </c>
      <c r="C7" s="14">
        <v>175</v>
      </c>
      <c r="D7" s="14">
        <v>178</v>
      </c>
      <c r="E7" s="15">
        <f t="shared" si="0"/>
        <v>3</v>
      </c>
      <c r="F7" s="16">
        <f t="shared" si="1"/>
        <v>1.7142857142857126E-2</v>
      </c>
      <c r="G7" s="15">
        <f t="shared" si="2"/>
        <v>12</v>
      </c>
      <c r="H7" s="16">
        <f t="shared" si="3"/>
        <v>7.2289156626506035E-2</v>
      </c>
      <c r="I7" s="3" t="s">
        <v>29</v>
      </c>
    </row>
    <row r="8" spans="1:9" x14ac:dyDescent="0.3">
      <c r="A8" s="5" t="s">
        <v>30</v>
      </c>
      <c r="B8" s="14">
        <v>98</v>
      </c>
      <c r="C8" s="14">
        <v>100</v>
      </c>
      <c r="D8" s="14">
        <v>104</v>
      </c>
      <c r="E8" s="15">
        <f t="shared" si="0"/>
        <v>4</v>
      </c>
      <c r="F8" s="16">
        <f t="shared" si="1"/>
        <v>4.0000000000000036E-2</v>
      </c>
      <c r="G8" s="15">
        <f t="shared" si="2"/>
        <v>6</v>
      </c>
      <c r="H8" s="16">
        <f t="shared" si="3"/>
        <v>6.1224489795918435E-2</v>
      </c>
      <c r="I8" s="3"/>
    </row>
    <row r="9" spans="1:9" x14ac:dyDescent="0.3">
      <c r="A9" s="5" t="s">
        <v>31</v>
      </c>
      <c r="B9" s="14">
        <v>34</v>
      </c>
      <c r="C9" s="14">
        <v>36</v>
      </c>
      <c r="D9" s="14">
        <v>29</v>
      </c>
      <c r="E9" s="15">
        <f t="shared" si="0"/>
        <v>-7</v>
      </c>
      <c r="F9" s="16">
        <f t="shared" si="1"/>
        <v>-0.19444444444444442</v>
      </c>
      <c r="G9" s="15">
        <f t="shared" si="2"/>
        <v>-5</v>
      </c>
      <c r="H9" s="16">
        <f t="shared" si="3"/>
        <v>-0.1470588235294118</v>
      </c>
      <c r="I9" s="3" t="s">
        <v>32</v>
      </c>
    </row>
    <row r="10" spans="1:9" x14ac:dyDescent="0.3">
      <c r="A10" s="17" t="s">
        <v>8</v>
      </c>
      <c r="B10" s="18">
        <f>SUM(B6:B9)</f>
        <v>418</v>
      </c>
      <c r="C10" s="18">
        <f>SUM(C6:C9)</f>
        <v>436</v>
      </c>
      <c r="D10" s="18">
        <f>SUM(D6:D9)</f>
        <v>432</v>
      </c>
      <c r="E10" s="15">
        <f t="shared" si="0"/>
        <v>-4</v>
      </c>
      <c r="F10" s="16">
        <f t="shared" si="1"/>
        <v>-9.1743119266054496E-3</v>
      </c>
      <c r="G10" s="15">
        <f t="shared" si="2"/>
        <v>14</v>
      </c>
      <c r="H10" s="16">
        <f t="shared" si="3"/>
        <v>3.3492822966507241E-2</v>
      </c>
      <c r="I10" s="3"/>
    </row>
    <row r="11" spans="1:9" x14ac:dyDescent="0.3">
      <c r="A11" s="5" t="s">
        <v>33</v>
      </c>
      <c r="B11" s="14">
        <v>205</v>
      </c>
      <c r="C11" s="14">
        <v>214</v>
      </c>
      <c r="D11" s="14">
        <v>219</v>
      </c>
      <c r="E11" s="15">
        <f t="shared" si="0"/>
        <v>5</v>
      </c>
      <c r="F11" s="16">
        <f t="shared" si="1"/>
        <v>2.3364485981308469E-2</v>
      </c>
      <c r="G11" s="15">
        <f t="shared" si="2"/>
        <v>14</v>
      </c>
      <c r="H11" s="16">
        <f t="shared" si="3"/>
        <v>6.8292682926829329E-2</v>
      </c>
      <c r="I11" s="3" t="s">
        <v>34</v>
      </c>
    </row>
    <row r="12" spans="1:9" x14ac:dyDescent="0.3">
      <c r="A12" s="5" t="s">
        <v>35</v>
      </c>
      <c r="B12" s="14">
        <v>38</v>
      </c>
      <c r="C12" s="14">
        <v>36</v>
      </c>
      <c r="D12" s="14">
        <v>50</v>
      </c>
      <c r="E12" s="15">
        <f t="shared" si="0"/>
        <v>14</v>
      </c>
      <c r="F12" s="16">
        <f t="shared" si="1"/>
        <v>0.38888888888888884</v>
      </c>
      <c r="G12" s="15">
        <f t="shared" si="2"/>
        <v>12</v>
      </c>
      <c r="H12" s="16">
        <f t="shared" si="3"/>
        <v>0.31578947368421062</v>
      </c>
      <c r="I12" s="3" t="s">
        <v>36</v>
      </c>
    </row>
    <row r="13" spans="1:9" x14ac:dyDescent="0.3">
      <c r="A13" s="5" t="s">
        <v>37</v>
      </c>
      <c r="B13" s="14">
        <v>34</v>
      </c>
      <c r="C13" s="14">
        <v>35</v>
      </c>
      <c r="D13" s="14">
        <v>35</v>
      </c>
      <c r="E13" s="15">
        <f t="shared" si="0"/>
        <v>0</v>
      </c>
      <c r="F13" s="16">
        <f t="shared" si="1"/>
        <v>0</v>
      </c>
      <c r="G13" s="15">
        <f t="shared" si="2"/>
        <v>1</v>
      </c>
      <c r="H13" s="16">
        <f t="shared" si="3"/>
        <v>2.9411764705882248E-2</v>
      </c>
      <c r="I13" s="3"/>
    </row>
    <row r="14" spans="1:9" x14ac:dyDescent="0.3">
      <c r="A14" s="5" t="s">
        <v>38</v>
      </c>
      <c r="B14" s="14">
        <v>22</v>
      </c>
      <c r="C14" s="14">
        <v>26</v>
      </c>
      <c r="D14" s="14">
        <v>24</v>
      </c>
      <c r="E14" s="15">
        <f t="shared" si="0"/>
        <v>-2</v>
      </c>
      <c r="F14" s="16">
        <f t="shared" si="1"/>
        <v>-7.6923076923076872E-2</v>
      </c>
      <c r="G14" s="15">
        <f t="shared" si="2"/>
        <v>2</v>
      </c>
      <c r="H14" s="16">
        <f t="shared" si="3"/>
        <v>9.0909090909090828E-2</v>
      </c>
      <c r="I14" s="3"/>
    </row>
    <row r="15" spans="1:9" x14ac:dyDescent="0.3">
      <c r="A15" s="5" t="s">
        <v>39</v>
      </c>
      <c r="B15" s="14">
        <v>18</v>
      </c>
      <c r="C15" s="14">
        <v>19</v>
      </c>
      <c r="D15" s="14">
        <v>20</v>
      </c>
      <c r="E15" s="15">
        <f t="shared" si="0"/>
        <v>1</v>
      </c>
      <c r="F15" s="16">
        <f t="shared" si="1"/>
        <v>5.2631578947368363E-2</v>
      </c>
      <c r="G15" s="15">
        <f t="shared" si="2"/>
        <v>2</v>
      </c>
      <c r="H15" s="16">
        <f t="shared" si="3"/>
        <v>0.11111111111111116</v>
      </c>
      <c r="I15" s="3"/>
    </row>
    <row r="16" spans="1:9" x14ac:dyDescent="0.3">
      <c r="A16" s="17" t="s">
        <v>9</v>
      </c>
      <c r="B16" s="18">
        <f>SUM(B11:B15)</f>
        <v>317</v>
      </c>
      <c r="C16" s="18">
        <f>SUM(C11:C15)</f>
        <v>330</v>
      </c>
      <c r="D16" s="18">
        <f>SUM(D11:D15)</f>
        <v>348</v>
      </c>
      <c r="E16" s="15">
        <f t="shared" si="0"/>
        <v>18</v>
      </c>
      <c r="F16" s="16">
        <f t="shared" si="1"/>
        <v>5.4545454545454453E-2</v>
      </c>
      <c r="G16" s="15">
        <f t="shared" si="2"/>
        <v>31</v>
      </c>
      <c r="H16" s="16">
        <f t="shared" si="3"/>
        <v>9.7791798107255579E-2</v>
      </c>
      <c r="I16" s="3"/>
    </row>
    <row r="17" spans="1:9" x14ac:dyDescent="0.3">
      <c r="A17" s="17" t="s">
        <v>10</v>
      </c>
      <c r="B17" s="18">
        <f>B10-B16</f>
        <v>101</v>
      </c>
      <c r="C17" s="18">
        <f>C10-C16</f>
        <v>106</v>
      </c>
      <c r="D17" s="18">
        <f>D10-D16</f>
        <v>84</v>
      </c>
      <c r="E17" s="15">
        <f t="shared" si="0"/>
        <v>-22</v>
      </c>
      <c r="F17" s="16">
        <f t="shared" si="1"/>
        <v>-0.20754716981132071</v>
      </c>
      <c r="G17" s="15">
        <f t="shared" si="2"/>
        <v>-17</v>
      </c>
      <c r="H17" s="16">
        <f t="shared" si="3"/>
        <v>-0.16831683168316836</v>
      </c>
      <c r="I17" s="3"/>
    </row>
    <row r="18" spans="1:9" x14ac:dyDescent="0.3">
      <c r="A18" s="5" t="s">
        <v>11</v>
      </c>
      <c r="B18" s="16">
        <f>B17/B10</f>
        <v>0.24162679425837322</v>
      </c>
      <c r="C18" s="16">
        <f>C17/C10</f>
        <v>0.24311926605504589</v>
      </c>
      <c r="D18" s="16">
        <f>D17/D10</f>
        <v>0.19444444444444445</v>
      </c>
      <c r="E18" s="16">
        <f t="shared" si="0"/>
        <v>-4.8674821610601438E-2</v>
      </c>
      <c r="F18" s="5" t="s">
        <v>40</v>
      </c>
      <c r="G18" s="16">
        <f t="shared" si="2"/>
        <v>-4.718234981392877E-2</v>
      </c>
      <c r="H18" s="5" t="s">
        <v>40</v>
      </c>
      <c r="I18" s="3"/>
    </row>
    <row r="19" spans="1:9" x14ac:dyDescent="0.3">
      <c r="A19" s="12" t="s">
        <v>41</v>
      </c>
      <c r="B19" s="13"/>
      <c r="C19" s="13"/>
      <c r="D19" s="13"/>
      <c r="E19" s="13"/>
      <c r="F19" s="13"/>
      <c r="G19" s="13"/>
      <c r="H19" s="13"/>
      <c r="I19" s="13"/>
    </row>
    <row r="20" spans="1:9" x14ac:dyDescent="0.3">
      <c r="A20" s="5" t="s">
        <v>13</v>
      </c>
      <c r="B20" s="14">
        <v>286</v>
      </c>
      <c r="C20" s="14">
        <v>300</v>
      </c>
      <c r="D20" s="14">
        <v>291</v>
      </c>
      <c r="E20" s="15">
        <f>D20-C20</f>
        <v>-9</v>
      </c>
      <c r="F20" s="16">
        <f>IFERROR(D20/C20-1,0)</f>
        <v>-3.0000000000000027E-2</v>
      </c>
      <c r="G20" s="15">
        <f>D20-B20</f>
        <v>5</v>
      </c>
      <c r="H20" s="16">
        <f>IFERROR(D20/B20-1,0)</f>
        <v>1.7482517482517501E-2</v>
      </c>
      <c r="I20" s="3"/>
    </row>
    <row r="21" spans="1:9" x14ac:dyDescent="0.3">
      <c r="A21" s="5" t="s">
        <v>42</v>
      </c>
      <c r="B21" s="19">
        <v>0.31</v>
      </c>
      <c r="C21" s="19">
        <v>0.28000000000000003</v>
      </c>
      <c r="D21" s="19">
        <v>0.36</v>
      </c>
      <c r="E21" s="16">
        <f>D21-C21</f>
        <v>7.999999999999996E-2</v>
      </c>
      <c r="F21" s="5" t="s">
        <v>40</v>
      </c>
      <c r="G21" s="16">
        <f>D21-B21</f>
        <v>4.9999999999999989E-2</v>
      </c>
      <c r="H21" s="5" t="s">
        <v>40</v>
      </c>
      <c r="I21" s="3" t="s">
        <v>43</v>
      </c>
    </row>
    <row r="22" spans="1:9" x14ac:dyDescent="0.3">
      <c r="A22" s="5" t="s">
        <v>14</v>
      </c>
      <c r="B22" s="14">
        <v>41</v>
      </c>
      <c r="C22" s="14">
        <v>45</v>
      </c>
      <c r="D22" s="14">
        <v>36</v>
      </c>
      <c r="E22" s="15">
        <f>D22-C22</f>
        <v>-9</v>
      </c>
      <c r="F22" s="16">
        <f>IFERROR(D22/C22-1,0)</f>
        <v>-0.19999999999999996</v>
      </c>
      <c r="G22" s="15">
        <f>D22-B22</f>
        <v>-5</v>
      </c>
      <c r="H22" s="16">
        <f>IFERROR(D22/B22-1,0)</f>
        <v>-0.12195121951219512</v>
      </c>
      <c r="I22" s="3" t="s">
        <v>44</v>
      </c>
    </row>
    <row r="23" spans="1:9" x14ac:dyDescent="0.3">
      <c r="A23" s="12" t="s">
        <v>45</v>
      </c>
      <c r="B23" s="13"/>
      <c r="C23" s="13"/>
      <c r="D23" s="13"/>
      <c r="E23" s="13"/>
      <c r="F23" s="13"/>
      <c r="G23" s="13"/>
      <c r="H23" s="13"/>
      <c r="I23" s="13"/>
    </row>
    <row r="24" spans="1:9" x14ac:dyDescent="0.3">
      <c r="A24" s="5" t="s">
        <v>46</v>
      </c>
      <c r="B24" s="14">
        <v>1185</v>
      </c>
      <c r="C24" s="14">
        <v>1220</v>
      </c>
      <c r="D24" s="14">
        <v>1162</v>
      </c>
      <c r="E24" s="15">
        <f>D24-C24</f>
        <v>-58</v>
      </c>
      <c r="F24" s="16">
        <f>IFERROR(D24/C24-1,0)</f>
        <v>-4.7540983606557341E-2</v>
      </c>
      <c r="G24" s="15">
        <f>D24-B24</f>
        <v>-23</v>
      </c>
      <c r="H24" s="16">
        <f>IFERROR(D24/B24-1,0)</f>
        <v>-1.940928270042197E-2</v>
      </c>
      <c r="I24" s="3"/>
    </row>
    <row r="25" spans="1:9" x14ac:dyDescent="0.3">
      <c r="A25" s="5" t="s">
        <v>47</v>
      </c>
      <c r="B25" s="14">
        <v>44</v>
      </c>
      <c r="C25" s="14">
        <v>35</v>
      </c>
      <c r="D25" s="14">
        <v>58</v>
      </c>
      <c r="E25" s="15">
        <f>D25-C25</f>
        <v>23</v>
      </c>
      <c r="F25" s="16">
        <f>IFERROR(D25/C25-1,0)</f>
        <v>0.65714285714285725</v>
      </c>
      <c r="G25" s="15">
        <f>D25-B25</f>
        <v>14</v>
      </c>
      <c r="H25" s="16">
        <f>IFERROR(D25/B25-1,0)</f>
        <v>0.31818181818181812</v>
      </c>
      <c r="I25" s="3" t="s">
        <v>48</v>
      </c>
    </row>
    <row r="26" spans="1:9" x14ac:dyDescent="0.3">
      <c r="A26" s="5" t="s">
        <v>16</v>
      </c>
      <c r="B26" s="16">
        <f>B25*4/B24</f>
        <v>0.14852320675105485</v>
      </c>
      <c r="C26" s="16">
        <f>C25*4/C24</f>
        <v>0.11475409836065574</v>
      </c>
      <c r="D26" s="16">
        <f>D25*4/D24</f>
        <v>0.19965576592082615</v>
      </c>
      <c r="E26" s="16">
        <f>D26-C26</f>
        <v>8.490166756017041E-2</v>
      </c>
      <c r="F26" s="5" t="s">
        <v>40</v>
      </c>
      <c r="G26" s="16">
        <f>D26-B26</f>
        <v>5.1132559169771302E-2</v>
      </c>
      <c r="H26" s="5" t="s">
        <v>40</v>
      </c>
      <c r="I26" s="3" t="s">
        <v>49</v>
      </c>
    </row>
    <row r="27" spans="1:9" x14ac:dyDescent="0.3">
      <c r="A27" s="5" t="s">
        <v>50</v>
      </c>
      <c r="B27" s="20">
        <v>9.5</v>
      </c>
      <c r="C27" s="20">
        <v>8</v>
      </c>
      <c r="D27" s="20">
        <v>14.2</v>
      </c>
      <c r="E27" s="21">
        <f>D27-C27</f>
        <v>6.1999999999999993</v>
      </c>
      <c r="F27" s="16">
        <f>IFERROR(D27/C27-1,0)</f>
        <v>0.77499999999999991</v>
      </c>
      <c r="G27" s="21">
        <f>D27-B27</f>
        <v>4.6999999999999993</v>
      </c>
      <c r="H27" s="16">
        <f>IFERROR(D27/B27-1,0)</f>
        <v>0.49473684210526314</v>
      </c>
      <c r="I27" s="3"/>
    </row>
    <row r="28" spans="1:9" x14ac:dyDescent="0.3">
      <c r="A28" s="5" t="s">
        <v>51</v>
      </c>
      <c r="B28" s="20">
        <v>7.5</v>
      </c>
      <c r="C28" s="20">
        <v>8</v>
      </c>
      <c r="D28" s="20">
        <v>4.8</v>
      </c>
      <c r="E28" s="21">
        <f>D28-C28</f>
        <v>-3.2</v>
      </c>
      <c r="F28" s="16">
        <f>IFERROR(D28/C28-1,0)</f>
        <v>-0.4</v>
      </c>
      <c r="G28" s="21">
        <f>D28-B28</f>
        <v>-2.7</v>
      </c>
      <c r="H28" s="16">
        <f>IFERROR(D28/B28-1,0)</f>
        <v>-0.36</v>
      </c>
      <c r="I28" s="3"/>
    </row>
    <row r="29" spans="1:9" x14ac:dyDescent="0.3">
      <c r="A29" s="12" t="s">
        <v>52</v>
      </c>
      <c r="B29" s="13"/>
      <c r="C29" s="13"/>
      <c r="D29" s="13"/>
      <c r="E29" s="13"/>
      <c r="F29" s="13"/>
      <c r="G29" s="13"/>
      <c r="H29" s="13"/>
      <c r="I29" s="13"/>
    </row>
    <row r="30" spans="1:9" x14ac:dyDescent="0.3">
      <c r="A30" s="5" t="s">
        <v>53</v>
      </c>
      <c r="B30" s="21">
        <f>B10*1000/B24</f>
        <v>352.74261603375527</v>
      </c>
      <c r="C30" s="21">
        <f>C10*1000/C24</f>
        <v>357.37704918032784</v>
      </c>
      <c r="D30" s="21">
        <f>D10*1000/D24</f>
        <v>371.77280550774526</v>
      </c>
      <c r="E30" s="21">
        <f>D30-C30</f>
        <v>14.395756327417416</v>
      </c>
      <c r="F30" s="16">
        <f>IFERROR(D30/C30-1,0)</f>
        <v>4.0281703484975395E-2</v>
      </c>
      <c r="G30" s="21">
        <f>D30-B30</f>
        <v>19.030189473989992</v>
      </c>
      <c r="H30" s="16">
        <f>IFERROR(D30/B30-1,0)</f>
        <v>5.3949221355689359E-2</v>
      </c>
      <c r="I30" s="3"/>
    </row>
    <row r="31" spans="1:9" x14ac:dyDescent="0.3">
      <c r="A31" s="5" t="s">
        <v>54</v>
      </c>
      <c r="B31" s="16">
        <f>B16/B10</f>
        <v>0.75837320574162681</v>
      </c>
      <c r="C31" s="16">
        <f>C16/C10</f>
        <v>0.75688073394495414</v>
      </c>
      <c r="D31" s="16">
        <f>D16/D10</f>
        <v>0.80555555555555558</v>
      </c>
      <c r="E31" s="16">
        <f>D31-C31</f>
        <v>4.8674821610601438E-2</v>
      </c>
      <c r="F31" s="5" t="s">
        <v>40</v>
      </c>
      <c r="G31" s="16">
        <f>D31-B31</f>
        <v>4.718234981392877E-2</v>
      </c>
      <c r="H31" s="5" t="s">
        <v>40</v>
      </c>
      <c r="I3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5" width="13" customWidth="1"/>
    <col min="6" max="6" width="12" customWidth="1"/>
    <col min="7" max="7" width="13" customWidth="1"/>
    <col min="8" max="8" width="18" customWidth="1"/>
    <col min="9" max="9" width="14" customWidth="1"/>
  </cols>
  <sheetData>
    <row r="1" spans="1:9" ht="17.399999999999999" x14ac:dyDescent="0.3">
      <c r="A1" s="1" t="s">
        <v>55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 t="s">
        <v>56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27.6" x14ac:dyDescent="0.3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</row>
    <row r="5" spans="1:9" x14ac:dyDescent="0.3">
      <c r="A5" s="5" t="s">
        <v>66</v>
      </c>
      <c r="B5" s="14">
        <v>130</v>
      </c>
      <c r="C5" s="14">
        <v>101</v>
      </c>
      <c r="D5" s="15">
        <f t="shared" ref="D5:D13" si="0">B5-C5</f>
        <v>29</v>
      </c>
      <c r="E5" s="14">
        <v>128</v>
      </c>
      <c r="F5" s="14">
        <v>99</v>
      </c>
      <c r="G5" s="15">
        <f t="shared" ref="G5:G13" si="1">E5-F5</f>
        <v>29</v>
      </c>
      <c r="H5" s="15">
        <f t="shared" ref="H5:H13" si="2">G5-D5</f>
        <v>0</v>
      </c>
      <c r="I5" s="16">
        <f t="shared" ref="I5:I14" si="3">IFERROR(E5/B5-1,0)</f>
        <v>-1.538461538461533E-2</v>
      </c>
    </row>
    <row r="6" spans="1:9" x14ac:dyDescent="0.3">
      <c r="A6" s="5" t="s">
        <v>67</v>
      </c>
      <c r="B6" s="14">
        <v>120</v>
      </c>
      <c r="C6" s="14">
        <v>97</v>
      </c>
      <c r="D6" s="15">
        <f t="shared" si="0"/>
        <v>23</v>
      </c>
      <c r="E6" s="14">
        <v>118</v>
      </c>
      <c r="F6" s="14">
        <v>94</v>
      </c>
      <c r="G6" s="15">
        <f t="shared" si="1"/>
        <v>24</v>
      </c>
      <c r="H6" s="15">
        <f t="shared" si="2"/>
        <v>1</v>
      </c>
      <c r="I6" s="16">
        <f t="shared" si="3"/>
        <v>-1.6666666666666718E-2</v>
      </c>
    </row>
    <row r="7" spans="1:9" x14ac:dyDescent="0.3">
      <c r="A7" s="5" t="s">
        <v>68</v>
      </c>
      <c r="B7" s="14">
        <v>150</v>
      </c>
      <c r="C7" s="14">
        <v>107</v>
      </c>
      <c r="D7" s="15">
        <f t="shared" si="0"/>
        <v>43</v>
      </c>
      <c r="E7" s="14">
        <v>149</v>
      </c>
      <c r="F7" s="14">
        <v>107</v>
      </c>
      <c r="G7" s="15">
        <f t="shared" si="1"/>
        <v>42</v>
      </c>
      <c r="H7" s="15">
        <f t="shared" si="2"/>
        <v>-1</v>
      </c>
      <c r="I7" s="16">
        <f t="shared" si="3"/>
        <v>-6.6666666666667096E-3</v>
      </c>
    </row>
    <row r="8" spans="1:9" x14ac:dyDescent="0.3">
      <c r="A8" s="5" t="s">
        <v>69</v>
      </c>
      <c r="B8" s="14">
        <v>138</v>
      </c>
      <c r="C8" s="14">
        <v>106</v>
      </c>
      <c r="D8" s="15">
        <f t="shared" si="0"/>
        <v>32</v>
      </c>
      <c r="E8" s="14">
        <v>136</v>
      </c>
      <c r="F8" s="14">
        <v>104</v>
      </c>
      <c r="G8" s="15">
        <f t="shared" si="1"/>
        <v>32</v>
      </c>
      <c r="H8" s="15">
        <f t="shared" si="2"/>
        <v>0</v>
      </c>
      <c r="I8" s="16">
        <f t="shared" si="3"/>
        <v>-1.4492753623188359E-2</v>
      </c>
    </row>
    <row r="9" spans="1:9" x14ac:dyDescent="0.3">
      <c r="A9" s="5" t="s">
        <v>70</v>
      </c>
      <c r="B9" s="14">
        <v>141</v>
      </c>
      <c r="C9" s="14">
        <v>107</v>
      </c>
      <c r="D9" s="15">
        <f t="shared" si="0"/>
        <v>34</v>
      </c>
      <c r="E9" s="14">
        <v>139</v>
      </c>
      <c r="F9" s="14">
        <v>105</v>
      </c>
      <c r="G9" s="15">
        <f t="shared" si="1"/>
        <v>34</v>
      </c>
      <c r="H9" s="15">
        <f t="shared" si="2"/>
        <v>0</v>
      </c>
      <c r="I9" s="16">
        <f t="shared" si="3"/>
        <v>-1.4184397163120588E-2</v>
      </c>
    </row>
    <row r="10" spans="1:9" x14ac:dyDescent="0.3">
      <c r="A10" s="5" t="s">
        <v>71</v>
      </c>
      <c r="B10" s="14">
        <v>146</v>
      </c>
      <c r="C10" s="14">
        <v>109</v>
      </c>
      <c r="D10" s="15">
        <f t="shared" si="0"/>
        <v>37</v>
      </c>
      <c r="E10" s="14">
        <v>143</v>
      </c>
      <c r="F10" s="14">
        <v>108</v>
      </c>
      <c r="G10" s="15">
        <f t="shared" si="1"/>
        <v>35</v>
      </c>
      <c r="H10" s="15">
        <f t="shared" si="2"/>
        <v>-2</v>
      </c>
      <c r="I10" s="16">
        <f t="shared" si="3"/>
        <v>-2.0547945205479423E-2</v>
      </c>
    </row>
    <row r="11" spans="1:9" x14ac:dyDescent="0.3">
      <c r="A11" s="5" t="s">
        <v>72</v>
      </c>
      <c r="B11" s="14">
        <v>143</v>
      </c>
      <c r="C11" s="14">
        <v>108</v>
      </c>
      <c r="D11" s="15">
        <f t="shared" si="0"/>
        <v>35</v>
      </c>
      <c r="E11" s="14">
        <v>142</v>
      </c>
      <c r="F11" s="14">
        <v>112</v>
      </c>
      <c r="G11" s="15">
        <f t="shared" si="1"/>
        <v>30</v>
      </c>
      <c r="H11" s="15">
        <f t="shared" si="2"/>
        <v>-5</v>
      </c>
      <c r="I11" s="16">
        <f t="shared" si="3"/>
        <v>-6.9930069930069783E-3</v>
      </c>
    </row>
    <row r="12" spans="1:9" x14ac:dyDescent="0.3">
      <c r="A12" s="5" t="s">
        <v>73</v>
      </c>
      <c r="B12" s="14">
        <v>145</v>
      </c>
      <c r="C12" s="14">
        <v>110</v>
      </c>
      <c r="D12" s="15">
        <f t="shared" si="0"/>
        <v>35</v>
      </c>
      <c r="E12" s="14">
        <v>141</v>
      </c>
      <c r="F12" s="14">
        <v>115</v>
      </c>
      <c r="G12" s="15">
        <f t="shared" si="1"/>
        <v>26</v>
      </c>
      <c r="H12" s="15">
        <f t="shared" si="2"/>
        <v>-9</v>
      </c>
      <c r="I12" s="16">
        <f t="shared" si="3"/>
        <v>-2.7586206896551779E-2</v>
      </c>
    </row>
    <row r="13" spans="1:9" x14ac:dyDescent="0.3">
      <c r="A13" s="5" t="s">
        <v>74</v>
      </c>
      <c r="B13" s="14">
        <v>148</v>
      </c>
      <c r="C13" s="14">
        <v>112</v>
      </c>
      <c r="D13" s="15">
        <f t="shared" si="0"/>
        <v>36</v>
      </c>
      <c r="E13" s="14">
        <v>149</v>
      </c>
      <c r="F13" s="14">
        <v>121</v>
      </c>
      <c r="G13" s="15">
        <f t="shared" si="1"/>
        <v>28</v>
      </c>
      <c r="H13" s="15">
        <f t="shared" si="2"/>
        <v>-8</v>
      </c>
      <c r="I13" s="16">
        <f t="shared" si="3"/>
        <v>6.7567567567567988E-3</v>
      </c>
    </row>
    <row r="14" spans="1:9" x14ac:dyDescent="0.3">
      <c r="A14" s="17" t="s">
        <v>75</v>
      </c>
      <c r="B14" s="18">
        <f t="shared" ref="B14:H14" si="4">SUM(B5:B13)</f>
        <v>1261</v>
      </c>
      <c r="C14" s="18">
        <f t="shared" si="4"/>
        <v>957</v>
      </c>
      <c r="D14" s="18">
        <f t="shared" si="4"/>
        <v>304</v>
      </c>
      <c r="E14" s="18">
        <f t="shared" si="4"/>
        <v>1245</v>
      </c>
      <c r="F14" s="18">
        <f t="shared" si="4"/>
        <v>965</v>
      </c>
      <c r="G14" s="18">
        <f t="shared" si="4"/>
        <v>280</v>
      </c>
      <c r="H14" s="18">
        <f t="shared" si="4"/>
        <v>-24</v>
      </c>
      <c r="I14" s="22">
        <f t="shared" si="3"/>
        <v>-1.2688342585249757E-2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7" customWidth="1"/>
    <col min="3" max="3" width="22" customWidth="1"/>
    <col min="4" max="4" width="13" customWidth="1"/>
    <col min="5" max="5" width="12" customWidth="1"/>
    <col min="6" max="6" width="13" customWidth="1"/>
    <col min="7" max="7" width="15" customWidth="1"/>
    <col min="8" max="8" width="11" customWidth="1"/>
    <col min="9" max="9" width="13" customWidth="1"/>
    <col min="10" max="10" width="12" customWidth="1"/>
    <col min="11" max="12" width="14" customWidth="1"/>
  </cols>
  <sheetData>
    <row r="1" spans="1:12" ht="17.399999999999999" x14ac:dyDescent="0.3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3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1.95" customHeight="1" x14ac:dyDescent="0.3">
      <c r="A4" s="4" t="s">
        <v>78</v>
      </c>
      <c r="B4" s="4" t="s">
        <v>79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4" t="s">
        <v>86</v>
      </c>
      <c r="J4" s="4" t="s">
        <v>87</v>
      </c>
      <c r="K4" s="4" t="s">
        <v>88</v>
      </c>
      <c r="L4" s="4" t="s">
        <v>89</v>
      </c>
    </row>
    <row r="5" spans="1:12" x14ac:dyDescent="0.3">
      <c r="A5" s="5" t="s">
        <v>90</v>
      </c>
      <c r="B5" s="5" t="s">
        <v>91</v>
      </c>
      <c r="C5" s="5" t="s">
        <v>92</v>
      </c>
      <c r="D5" s="5" t="s">
        <v>93</v>
      </c>
      <c r="E5" s="5" t="s">
        <v>94</v>
      </c>
      <c r="F5" s="23">
        <v>45965</v>
      </c>
      <c r="G5" s="23">
        <v>46330</v>
      </c>
      <c r="H5" s="14">
        <v>400</v>
      </c>
      <c r="I5" s="14">
        <v>303</v>
      </c>
      <c r="J5" s="24">
        <v>0.8</v>
      </c>
      <c r="K5" s="25">
        <f t="shared" ref="K5:K36" si="0">MIN(1,MAX(0,(DATE(2026,9,30)-F5)/(G5-F5)))</f>
        <v>0.90410958904109584</v>
      </c>
      <c r="L5" s="26">
        <v>3.6</v>
      </c>
    </row>
    <row r="6" spans="1:12" x14ac:dyDescent="0.3">
      <c r="A6" s="5" t="s">
        <v>95</v>
      </c>
      <c r="B6" s="5" t="s">
        <v>96</v>
      </c>
      <c r="C6" s="5" t="s">
        <v>97</v>
      </c>
      <c r="D6" s="5" t="s">
        <v>98</v>
      </c>
      <c r="E6" s="5" t="s">
        <v>99</v>
      </c>
      <c r="F6" s="23">
        <v>45968</v>
      </c>
      <c r="G6" s="23">
        <v>46339</v>
      </c>
      <c r="H6" s="14">
        <v>1500</v>
      </c>
      <c r="I6" s="14">
        <v>1376</v>
      </c>
      <c r="J6" s="24">
        <v>0.83</v>
      </c>
      <c r="K6" s="25">
        <f t="shared" si="0"/>
        <v>0.8814016172506739</v>
      </c>
      <c r="L6" s="26">
        <v>4.3</v>
      </c>
    </row>
    <row r="7" spans="1:12" x14ac:dyDescent="0.3">
      <c r="A7" s="5" t="s">
        <v>100</v>
      </c>
      <c r="B7" s="5" t="s">
        <v>101</v>
      </c>
      <c r="C7" s="5" t="s">
        <v>102</v>
      </c>
      <c r="D7" s="5" t="s">
        <v>103</v>
      </c>
      <c r="E7" s="5" t="s">
        <v>104</v>
      </c>
      <c r="F7" s="23">
        <v>45968</v>
      </c>
      <c r="G7" s="23">
        <v>46316</v>
      </c>
      <c r="H7" s="14">
        <v>5500</v>
      </c>
      <c r="I7" s="14">
        <v>4526</v>
      </c>
      <c r="J7" s="24">
        <v>0.83</v>
      </c>
      <c r="K7" s="25">
        <f t="shared" si="0"/>
        <v>0.93965517241379315</v>
      </c>
      <c r="L7" s="26">
        <v>4.2</v>
      </c>
    </row>
    <row r="8" spans="1:12" x14ac:dyDescent="0.3">
      <c r="A8" s="5" t="s">
        <v>105</v>
      </c>
      <c r="B8" s="5" t="s">
        <v>91</v>
      </c>
      <c r="C8" s="5" t="s">
        <v>97</v>
      </c>
      <c r="D8" s="5" t="s">
        <v>106</v>
      </c>
      <c r="E8" s="5" t="s">
        <v>107</v>
      </c>
      <c r="F8" s="23">
        <v>45971</v>
      </c>
      <c r="G8" s="23">
        <v>46349</v>
      </c>
      <c r="H8" s="14">
        <v>1000</v>
      </c>
      <c r="I8" s="14">
        <v>857</v>
      </c>
      <c r="J8" s="24">
        <v>0.87</v>
      </c>
      <c r="K8" s="25">
        <f t="shared" si="0"/>
        <v>0.8571428571428571</v>
      </c>
      <c r="L8" s="26">
        <v>3.5</v>
      </c>
    </row>
    <row r="9" spans="1:12" x14ac:dyDescent="0.3">
      <c r="A9" s="5" t="s">
        <v>108</v>
      </c>
      <c r="B9" s="5" t="s">
        <v>96</v>
      </c>
      <c r="C9" s="5" t="s">
        <v>102</v>
      </c>
      <c r="D9" s="5" t="s">
        <v>109</v>
      </c>
      <c r="E9" s="5" t="s">
        <v>99</v>
      </c>
      <c r="F9" s="23">
        <v>45974</v>
      </c>
      <c r="G9" s="23">
        <v>46328</v>
      </c>
      <c r="H9" s="14">
        <v>4000</v>
      </c>
      <c r="I9" s="14">
        <v>3386</v>
      </c>
      <c r="J9" s="24">
        <v>0.93</v>
      </c>
      <c r="K9" s="25">
        <f t="shared" si="0"/>
        <v>0.90677966101694918</v>
      </c>
      <c r="L9" s="26">
        <v>3.9</v>
      </c>
    </row>
    <row r="10" spans="1:12" x14ac:dyDescent="0.3">
      <c r="A10" s="5" t="s">
        <v>110</v>
      </c>
      <c r="B10" s="5" t="s">
        <v>96</v>
      </c>
      <c r="C10" s="5" t="s">
        <v>111</v>
      </c>
      <c r="D10" s="5" t="s">
        <v>112</v>
      </c>
      <c r="E10" s="5" t="s">
        <v>113</v>
      </c>
      <c r="F10" s="23">
        <v>45975</v>
      </c>
      <c r="G10" s="23">
        <v>46483</v>
      </c>
      <c r="H10" s="14">
        <v>600</v>
      </c>
      <c r="I10" s="14">
        <v>364</v>
      </c>
      <c r="J10" s="24">
        <v>0.64</v>
      </c>
      <c r="K10" s="25">
        <f t="shared" si="0"/>
        <v>0.62992125984251968</v>
      </c>
      <c r="L10" s="26">
        <v>4.3</v>
      </c>
    </row>
    <row r="11" spans="1:12" x14ac:dyDescent="0.3">
      <c r="A11" s="5" t="s">
        <v>114</v>
      </c>
      <c r="B11" s="5" t="s">
        <v>115</v>
      </c>
      <c r="C11" s="5" t="s">
        <v>102</v>
      </c>
      <c r="D11" s="5" t="s">
        <v>116</v>
      </c>
      <c r="E11" s="5" t="s">
        <v>117</v>
      </c>
      <c r="F11" s="23">
        <v>45976</v>
      </c>
      <c r="G11" s="23">
        <v>46421</v>
      </c>
      <c r="H11" s="14">
        <v>2500</v>
      </c>
      <c r="I11" s="14">
        <v>1847</v>
      </c>
      <c r="J11" s="24">
        <v>0.74</v>
      </c>
      <c r="K11" s="25">
        <f t="shared" si="0"/>
        <v>0.71685393258426966</v>
      </c>
      <c r="L11" s="26">
        <v>4.3</v>
      </c>
    </row>
    <row r="12" spans="1:12" x14ac:dyDescent="0.3">
      <c r="A12" s="5" t="s">
        <v>118</v>
      </c>
      <c r="B12" s="5" t="s">
        <v>91</v>
      </c>
      <c r="C12" s="5" t="s">
        <v>102</v>
      </c>
      <c r="D12" s="5" t="s">
        <v>106</v>
      </c>
      <c r="E12" s="5" t="s">
        <v>119</v>
      </c>
      <c r="F12" s="23">
        <v>45979</v>
      </c>
      <c r="G12" s="23">
        <v>46405</v>
      </c>
      <c r="H12" s="14">
        <v>400</v>
      </c>
      <c r="I12" s="14">
        <v>233</v>
      </c>
      <c r="J12" s="24">
        <v>0.57999999999999996</v>
      </c>
      <c r="K12" s="25">
        <f t="shared" si="0"/>
        <v>0.74178403755868549</v>
      </c>
      <c r="L12" s="26">
        <v>3.3</v>
      </c>
    </row>
    <row r="13" spans="1:12" x14ac:dyDescent="0.3">
      <c r="A13" s="5" t="s">
        <v>120</v>
      </c>
      <c r="B13" s="5" t="s">
        <v>101</v>
      </c>
      <c r="C13" s="5" t="s">
        <v>97</v>
      </c>
      <c r="D13" s="5" t="s">
        <v>121</v>
      </c>
      <c r="E13" s="5" t="s">
        <v>94</v>
      </c>
      <c r="F13" s="23">
        <v>45980</v>
      </c>
      <c r="G13" s="23">
        <v>46512</v>
      </c>
      <c r="H13" s="14">
        <v>7000</v>
      </c>
      <c r="I13" s="14">
        <v>3717</v>
      </c>
      <c r="J13" s="24">
        <v>0.55000000000000004</v>
      </c>
      <c r="K13" s="25">
        <f t="shared" si="0"/>
        <v>0.59210526315789469</v>
      </c>
      <c r="L13" s="26">
        <v>3.6</v>
      </c>
    </row>
    <row r="14" spans="1:12" x14ac:dyDescent="0.3">
      <c r="A14" s="5" t="s">
        <v>122</v>
      </c>
      <c r="B14" s="5" t="s">
        <v>115</v>
      </c>
      <c r="C14" s="5" t="s">
        <v>102</v>
      </c>
      <c r="D14" s="5" t="s">
        <v>123</v>
      </c>
      <c r="E14" s="5" t="s">
        <v>124</v>
      </c>
      <c r="F14" s="23">
        <v>45986</v>
      </c>
      <c r="G14" s="23">
        <v>46526</v>
      </c>
      <c r="H14" s="14">
        <v>2500</v>
      </c>
      <c r="I14" s="14">
        <v>1618</v>
      </c>
      <c r="J14" s="24">
        <v>0.56000000000000005</v>
      </c>
      <c r="K14" s="25">
        <f t="shared" si="0"/>
        <v>0.57222222222222219</v>
      </c>
      <c r="L14" s="26">
        <v>4.0999999999999996</v>
      </c>
    </row>
    <row r="15" spans="1:12" x14ac:dyDescent="0.3">
      <c r="A15" s="5" t="s">
        <v>125</v>
      </c>
      <c r="B15" s="5" t="s">
        <v>115</v>
      </c>
      <c r="C15" s="5" t="s">
        <v>97</v>
      </c>
      <c r="D15" s="5" t="s">
        <v>126</v>
      </c>
      <c r="E15" s="5" t="s">
        <v>94</v>
      </c>
      <c r="F15" s="23">
        <v>45989</v>
      </c>
      <c r="G15" s="23">
        <v>46537</v>
      </c>
      <c r="H15" s="14">
        <v>800</v>
      </c>
      <c r="I15" s="14">
        <v>610</v>
      </c>
      <c r="J15" s="24">
        <v>0.7</v>
      </c>
      <c r="K15" s="25">
        <f t="shared" si="0"/>
        <v>0.55839416058394165</v>
      </c>
      <c r="L15" s="26">
        <v>4.3</v>
      </c>
    </row>
    <row r="16" spans="1:12" x14ac:dyDescent="0.3">
      <c r="A16" s="5" t="s">
        <v>127</v>
      </c>
      <c r="B16" s="5" t="s">
        <v>128</v>
      </c>
      <c r="C16" s="5" t="s">
        <v>102</v>
      </c>
      <c r="D16" s="5" t="s">
        <v>129</v>
      </c>
      <c r="E16" s="5" t="s">
        <v>94</v>
      </c>
      <c r="F16" s="23">
        <v>45991</v>
      </c>
      <c r="G16" s="23">
        <v>46466</v>
      </c>
      <c r="H16" s="14">
        <v>5500</v>
      </c>
      <c r="I16" s="14">
        <v>3053</v>
      </c>
      <c r="J16" s="24">
        <v>0.61</v>
      </c>
      <c r="K16" s="25">
        <f t="shared" si="0"/>
        <v>0.64</v>
      </c>
      <c r="L16" s="26">
        <v>4.3</v>
      </c>
    </row>
    <row r="17" spans="1:12" x14ac:dyDescent="0.3">
      <c r="A17" s="5" t="s">
        <v>130</v>
      </c>
      <c r="B17" s="5" t="s">
        <v>115</v>
      </c>
      <c r="C17" s="5" t="s">
        <v>97</v>
      </c>
      <c r="D17" s="5" t="s">
        <v>131</v>
      </c>
      <c r="E17" s="5" t="s">
        <v>132</v>
      </c>
      <c r="F17" s="23">
        <v>45991</v>
      </c>
      <c r="G17" s="23">
        <v>46316</v>
      </c>
      <c r="H17" s="14">
        <v>400</v>
      </c>
      <c r="I17" s="14">
        <v>393</v>
      </c>
      <c r="J17" s="24">
        <v>0.98</v>
      </c>
      <c r="K17" s="25">
        <f t="shared" si="0"/>
        <v>0.93538461538461537</v>
      </c>
      <c r="L17" s="26">
        <v>4.5999999999999996</v>
      </c>
    </row>
    <row r="18" spans="1:12" x14ac:dyDescent="0.3">
      <c r="A18" s="5" t="s">
        <v>133</v>
      </c>
      <c r="B18" s="5" t="s">
        <v>115</v>
      </c>
      <c r="C18" s="5" t="s">
        <v>102</v>
      </c>
      <c r="D18" s="5" t="s">
        <v>134</v>
      </c>
      <c r="E18" s="5" t="s">
        <v>135</v>
      </c>
      <c r="F18" s="23">
        <v>45993</v>
      </c>
      <c r="G18" s="23">
        <v>46365</v>
      </c>
      <c r="H18" s="14">
        <v>400</v>
      </c>
      <c r="I18" s="14">
        <v>251</v>
      </c>
      <c r="J18" s="24">
        <v>0.64</v>
      </c>
      <c r="K18" s="25">
        <f t="shared" si="0"/>
        <v>0.81182795698924726</v>
      </c>
      <c r="L18" s="26">
        <v>3.4</v>
      </c>
    </row>
    <row r="19" spans="1:12" x14ac:dyDescent="0.3">
      <c r="A19" s="5" t="s">
        <v>136</v>
      </c>
      <c r="B19" s="5" t="s">
        <v>137</v>
      </c>
      <c r="C19" s="5" t="s">
        <v>92</v>
      </c>
      <c r="D19" s="5" t="s">
        <v>138</v>
      </c>
      <c r="E19" s="5" t="s">
        <v>139</v>
      </c>
      <c r="F19" s="23">
        <v>45993</v>
      </c>
      <c r="G19" s="23">
        <v>46414</v>
      </c>
      <c r="H19" s="14">
        <v>400</v>
      </c>
      <c r="I19" s="14">
        <v>290</v>
      </c>
      <c r="J19" s="24">
        <v>0.73</v>
      </c>
      <c r="K19" s="25">
        <f t="shared" si="0"/>
        <v>0.71733966745843225</v>
      </c>
      <c r="L19" s="26">
        <v>4.4000000000000004</v>
      </c>
    </row>
    <row r="20" spans="1:12" x14ac:dyDescent="0.3">
      <c r="A20" s="5" t="s">
        <v>140</v>
      </c>
      <c r="B20" s="5" t="s">
        <v>128</v>
      </c>
      <c r="C20" s="5" t="s">
        <v>97</v>
      </c>
      <c r="D20" s="5" t="s">
        <v>129</v>
      </c>
      <c r="E20" s="5" t="s">
        <v>141</v>
      </c>
      <c r="F20" s="23">
        <v>45994</v>
      </c>
      <c r="G20" s="23">
        <v>46491</v>
      </c>
      <c r="H20" s="14">
        <v>1800</v>
      </c>
      <c r="I20" s="14">
        <v>1014</v>
      </c>
      <c r="J20" s="24">
        <v>0.6</v>
      </c>
      <c r="K20" s="25">
        <f t="shared" si="0"/>
        <v>0.60563380281690138</v>
      </c>
      <c r="L20" s="26">
        <v>4.7</v>
      </c>
    </row>
    <row r="21" spans="1:12" x14ac:dyDescent="0.3">
      <c r="A21" s="5" t="s">
        <v>142</v>
      </c>
      <c r="B21" s="5" t="s">
        <v>137</v>
      </c>
      <c r="C21" s="5" t="s">
        <v>92</v>
      </c>
      <c r="D21" s="5" t="s">
        <v>143</v>
      </c>
      <c r="E21" s="5" t="s">
        <v>144</v>
      </c>
      <c r="F21" s="23">
        <v>45995</v>
      </c>
      <c r="G21" s="23">
        <v>46418</v>
      </c>
      <c r="H21" s="14">
        <v>3000</v>
      </c>
      <c r="I21" s="14">
        <v>1892</v>
      </c>
      <c r="J21" s="24">
        <v>0.7</v>
      </c>
      <c r="K21" s="25">
        <f t="shared" si="0"/>
        <v>0.70921985815602839</v>
      </c>
      <c r="L21" s="26">
        <v>4</v>
      </c>
    </row>
    <row r="22" spans="1:12" x14ac:dyDescent="0.3">
      <c r="A22" s="5" t="s">
        <v>145</v>
      </c>
      <c r="B22" s="5" t="s">
        <v>115</v>
      </c>
      <c r="C22" s="5" t="s">
        <v>97</v>
      </c>
      <c r="D22" s="5" t="s">
        <v>146</v>
      </c>
      <c r="E22" s="5" t="s">
        <v>94</v>
      </c>
      <c r="F22" s="23">
        <v>45996</v>
      </c>
      <c r="G22" s="23">
        <v>46484</v>
      </c>
      <c r="H22" s="14">
        <v>1000</v>
      </c>
      <c r="I22" s="14">
        <v>759</v>
      </c>
      <c r="J22" s="24">
        <v>0.66</v>
      </c>
      <c r="K22" s="25">
        <f t="shared" si="0"/>
        <v>0.61270491803278693</v>
      </c>
      <c r="L22" s="26">
        <v>4.2</v>
      </c>
    </row>
    <row r="23" spans="1:12" x14ac:dyDescent="0.3">
      <c r="A23" s="5" t="s">
        <v>147</v>
      </c>
      <c r="B23" s="5" t="s">
        <v>91</v>
      </c>
      <c r="C23" s="5" t="s">
        <v>92</v>
      </c>
      <c r="D23" s="5" t="s">
        <v>131</v>
      </c>
      <c r="E23" s="5" t="s">
        <v>148</v>
      </c>
      <c r="F23" s="23">
        <v>45997</v>
      </c>
      <c r="G23" s="23">
        <v>46355</v>
      </c>
      <c r="H23" s="14">
        <v>4000</v>
      </c>
      <c r="I23" s="14">
        <v>3543</v>
      </c>
      <c r="J23" s="24">
        <v>0.89</v>
      </c>
      <c r="K23" s="25">
        <f t="shared" si="0"/>
        <v>0.83240223463687146</v>
      </c>
      <c r="L23" s="26">
        <v>4.3</v>
      </c>
    </row>
    <row r="24" spans="1:12" x14ac:dyDescent="0.3">
      <c r="A24" s="5" t="s">
        <v>149</v>
      </c>
      <c r="B24" s="5" t="s">
        <v>115</v>
      </c>
      <c r="C24" s="5" t="s">
        <v>92</v>
      </c>
      <c r="D24" s="5" t="s">
        <v>109</v>
      </c>
      <c r="E24" s="5" t="s">
        <v>150</v>
      </c>
      <c r="F24" s="23">
        <v>46001</v>
      </c>
      <c r="G24" s="23">
        <v>46424</v>
      </c>
      <c r="H24" s="14">
        <v>800</v>
      </c>
      <c r="I24" s="14">
        <v>545</v>
      </c>
      <c r="J24" s="24">
        <v>0.69</v>
      </c>
      <c r="K24" s="25">
        <f t="shared" si="0"/>
        <v>0.69503546099290781</v>
      </c>
      <c r="L24" s="26">
        <v>4.0999999999999996</v>
      </c>
    </row>
    <row r="25" spans="1:12" x14ac:dyDescent="0.3">
      <c r="A25" s="5" t="s">
        <v>151</v>
      </c>
      <c r="B25" s="5" t="s">
        <v>101</v>
      </c>
      <c r="C25" s="5" t="s">
        <v>102</v>
      </c>
      <c r="D25" s="5" t="s">
        <v>152</v>
      </c>
      <c r="E25" s="5" t="s">
        <v>94</v>
      </c>
      <c r="F25" s="23">
        <v>46005</v>
      </c>
      <c r="G25" s="23">
        <v>46371</v>
      </c>
      <c r="H25" s="14">
        <v>4000</v>
      </c>
      <c r="I25" s="14">
        <v>3628</v>
      </c>
      <c r="J25" s="24">
        <v>0.75</v>
      </c>
      <c r="K25" s="25">
        <f t="shared" si="0"/>
        <v>0.79234972677595628</v>
      </c>
      <c r="L25" s="26">
        <v>4.9000000000000004</v>
      </c>
    </row>
    <row r="26" spans="1:12" x14ac:dyDescent="0.3">
      <c r="A26" s="5" t="s">
        <v>153</v>
      </c>
      <c r="B26" s="5" t="s">
        <v>91</v>
      </c>
      <c r="C26" s="5" t="s">
        <v>92</v>
      </c>
      <c r="D26" s="5" t="s">
        <v>121</v>
      </c>
      <c r="E26" s="5" t="s">
        <v>154</v>
      </c>
      <c r="F26" s="23">
        <v>46006</v>
      </c>
      <c r="G26" s="23">
        <v>46372</v>
      </c>
      <c r="H26" s="14">
        <v>3000</v>
      </c>
      <c r="I26" s="14">
        <v>2018</v>
      </c>
      <c r="J26" s="24">
        <v>0.69</v>
      </c>
      <c r="K26" s="25">
        <f t="shared" si="0"/>
        <v>0.7896174863387978</v>
      </c>
      <c r="L26" s="26">
        <v>2.8</v>
      </c>
    </row>
    <row r="27" spans="1:12" x14ac:dyDescent="0.3">
      <c r="A27" s="5" t="s">
        <v>155</v>
      </c>
      <c r="B27" s="5" t="s">
        <v>91</v>
      </c>
      <c r="C27" s="5" t="s">
        <v>97</v>
      </c>
      <c r="D27" s="5" t="s">
        <v>156</v>
      </c>
      <c r="E27" s="5" t="s">
        <v>94</v>
      </c>
      <c r="F27" s="23">
        <v>46007</v>
      </c>
      <c r="G27" s="23">
        <v>46508</v>
      </c>
      <c r="H27" s="14">
        <v>7000</v>
      </c>
      <c r="I27" s="14">
        <v>4437</v>
      </c>
      <c r="J27" s="24">
        <v>0.6</v>
      </c>
      <c r="K27" s="25">
        <f t="shared" si="0"/>
        <v>0.57485029940119758</v>
      </c>
      <c r="L27" s="26">
        <v>3.4</v>
      </c>
    </row>
    <row r="28" spans="1:12" x14ac:dyDescent="0.3">
      <c r="A28" s="5" t="s">
        <v>157</v>
      </c>
      <c r="B28" s="5" t="s">
        <v>115</v>
      </c>
      <c r="C28" s="5" t="s">
        <v>102</v>
      </c>
      <c r="D28" s="5" t="s">
        <v>158</v>
      </c>
      <c r="E28" s="5" t="s">
        <v>107</v>
      </c>
      <c r="F28" s="23">
        <v>46009</v>
      </c>
      <c r="G28" s="23">
        <v>46411</v>
      </c>
      <c r="H28" s="14">
        <v>1200</v>
      </c>
      <c r="I28" s="14">
        <v>637</v>
      </c>
      <c r="J28" s="24">
        <v>0.62</v>
      </c>
      <c r="K28" s="25">
        <f t="shared" si="0"/>
        <v>0.71144278606965172</v>
      </c>
      <c r="L28" s="26">
        <v>5</v>
      </c>
    </row>
    <row r="29" spans="1:12" x14ac:dyDescent="0.3">
      <c r="A29" s="5" t="s">
        <v>159</v>
      </c>
      <c r="B29" s="5" t="s">
        <v>128</v>
      </c>
      <c r="C29" s="5" t="s">
        <v>97</v>
      </c>
      <c r="D29" s="5" t="s">
        <v>160</v>
      </c>
      <c r="E29" s="5" t="s">
        <v>161</v>
      </c>
      <c r="F29" s="23">
        <v>46009</v>
      </c>
      <c r="G29" s="23">
        <v>46472</v>
      </c>
      <c r="H29" s="14">
        <v>7000</v>
      </c>
      <c r="I29" s="14">
        <v>4582</v>
      </c>
      <c r="J29" s="24">
        <v>0.74</v>
      </c>
      <c r="K29" s="25">
        <f t="shared" si="0"/>
        <v>0.6177105831533477</v>
      </c>
      <c r="L29" s="26">
        <v>4.2</v>
      </c>
    </row>
    <row r="30" spans="1:12" x14ac:dyDescent="0.3">
      <c r="A30" s="5" t="s">
        <v>162</v>
      </c>
      <c r="B30" s="5" t="s">
        <v>115</v>
      </c>
      <c r="C30" s="5" t="s">
        <v>97</v>
      </c>
      <c r="D30" s="5" t="s">
        <v>93</v>
      </c>
      <c r="E30" s="5" t="s">
        <v>163</v>
      </c>
      <c r="F30" s="23">
        <v>46012</v>
      </c>
      <c r="G30" s="23">
        <v>46438</v>
      </c>
      <c r="H30" s="14">
        <v>300</v>
      </c>
      <c r="I30" s="14">
        <v>176</v>
      </c>
      <c r="J30" s="24">
        <v>0.61</v>
      </c>
      <c r="K30" s="25">
        <f t="shared" si="0"/>
        <v>0.66431924882629112</v>
      </c>
      <c r="L30" s="26">
        <v>4.5</v>
      </c>
    </row>
    <row r="31" spans="1:12" x14ac:dyDescent="0.3">
      <c r="A31" s="5" t="s">
        <v>164</v>
      </c>
      <c r="B31" s="5" t="s">
        <v>91</v>
      </c>
      <c r="C31" s="5" t="s">
        <v>92</v>
      </c>
      <c r="D31" s="5" t="s">
        <v>165</v>
      </c>
      <c r="E31" s="5" t="s">
        <v>94</v>
      </c>
      <c r="F31" s="23">
        <v>46012</v>
      </c>
      <c r="G31" s="23">
        <v>46399</v>
      </c>
      <c r="H31" s="14">
        <v>600</v>
      </c>
      <c r="I31" s="14">
        <v>504</v>
      </c>
      <c r="J31" s="24">
        <v>0.76</v>
      </c>
      <c r="K31" s="25">
        <f t="shared" si="0"/>
        <v>0.73126614987080107</v>
      </c>
      <c r="L31" s="26">
        <v>4</v>
      </c>
    </row>
    <row r="32" spans="1:12" x14ac:dyDescent="0.3">
      <c r="A32" s="5" t="s">
        <v>166</v>
      </c>
      <c r="B32" s="5" t="s">
        <v>115</v>
      </c>
      <c r="C32" s="5" t="s">
        <v>92</v>
      </c>
      <c r="D32" s="5" t="s">
        <v>98</v>
      </c>
      <c r="E32" s="5" t="s">
        <v>167</v>
      </c>
      <c r="F32" s="23">
        <v>46017</v>
      </c>
      <c r="G32" s="23">
        <v>46325</v>
      </c>
      <c r="H32" s="14">
        <v>800</v>
      </c>
      <c r="I32" s="14">
        <v>743</v>
      </c>
      <c r="J32" s="24">
        <v>0.89</v>
      </c>
      <c r="K32" s="25">
        <f t="shared" si="0"/>
        <v>0.90259740259740262</v>
      </c>
      <c r="L32" s="26">
        <v>4.5</v>
      </c>
    </row>
    <row r="33" spans="1:12" x14ac:dyDescent="0.3">
      <c r="A33" s="5" t="s">
        <v>168</v>
      </c>
      <c r="B33" s="5" t="s">
        <v>115</v>
      </c>
      <c r="C33" s="5" t="s">
        <v>92</v>
      </c>
      <c r="D33" s="5" t="s">
        <v>123</v>
      </c>
      <c r="E33" s="5" t="s">
        <v>169</v>
      </c>
      <c r="F33" s="23">
        <v>46018</v>
      </c>
      <c r="G33" s="23">
        <v>46335</v>
      </c>
      <c r="H33" s="14">
        <v>500</v>
      </c>
      <c r="I33" s="14">
        <v>482</v>
      </c>
      <c r="J33" s="24">
        <v>0.94</v>
      </c>
      <c r="K33" s="25">
        <f t="shared" si="0"/>
        <v>0.87381703470031546</v>
      </c>
      <c r="L33" s="26">
        <v>4</v>
      </c>
    </row>
    <row r="34" spans="1:12" x14ac:dyDescent="0.3">
      <c r="A34" s="5" t="s">
        <v>170</v>
      </c>
      <c r="B34" s="5" t="s">
        <v>115</v>
      </c>
      <c r="C34" s="5" t="s">
        <v>92</v>
      </c>
      <c r="D34" s="5" t="s">
        <v>171</v>
      </c>
      <c r="E34" s="5" t="s">
        <v>172</v>
      </c>
      <c r="F34" s="23">
        <v>46020</v>
      </c>
      <c r="G34" s="23">
        <v>46428</v>
      </c>
      <c r="H34" s="14">
        <v>600</v>
      </c>
      <c r="I34" s="14">
        <v>461</v>
      </c>
      <c r="J34" s="24">
        <v>0.73</v>
      </c>
      <c r="K34" s="25">
        <f t="shared" si="0"/>
        <v>0.6740196078431373</v>
      </c>
      <c r="L34" s="26">
        <v>3.9</v>
      </c>
    </row>
    <row r="35" spans="1:12" x14ac:dyDescent="0.3">
      <c r="A35" s="5" t="s">
        <v>173</v>
      </c>
      <c r="B35" s="5" t="s">
        <v>91</v>
      </c>
      <c r="C35" s="5" t="s">
        <v>111</v>
      </c>
      <c r="D35" s="5" t="s">
        <v>165</v>
      </c>
      <c r="E35" s="5" t="s">
        <v>174</v>
      </c>
      <c r="F35" s="23">
        <v>46021</v>
      </c>
      <c r="G35" s="23">
        <v>46522</v>
      </c>
      <c r="H35" s="14">
        <v>1800</v>
      </c>
      <c r="I35" s="14">
        <v>1127</v>
      </c>
      <c r="J35" s="24">
        <v>0.64</v>
      </c>
      <c r="K35" s="25">
        <f t="shared" si="0"/>
        <v>0.54690618762475052</v>
      </c>
      <c r="L35" s="26">
        <v>3.9</v>
      </c>
    </row>
    <row r="36" spans="1:12" x14ac:dyDescent="0.3">
      <c r="A36" s="5" t="s">
        <v>175</v>
      </c>
      <c r="B36" s="5" t="s">
        <v>128</v>
      </c>
      <c r="C36" s="5" t="s">
        <v>102</v>
      </c>
      <c r="D36" s="5" t="s">
        <v>129</v>
      </c>
      <c r="E36" s="5" t="s">
        <v>176</v>
      </c>
      <c r="F36" s="23">
        <v>46023</v>
      </c>
      <c r="G36" s="23">
        <v>46364</v>
      </c>
      <c r="H36" s="14">
        <v>400</v>
      </c>
      <c r="I36" s="14">
        <v>325</v>
      </c>
      <c r="J36" s="24">
        <v>0.84</v>
      </c>
      <c r="K36" s="25">
        <f t="shared" si="0"/>
        <v>0.79765395894428148</v>
      </c>
      <c r="L36" s="26">
        <v>4.5</v>
      </c>
    </row>
    <row r="37" spans="1:12" x14ac:dyDescent="0.3">
      <c r="A37" s="5" t="s">
        <v>177</v>
      </c>
      <c r="B37" s="5" t="s">
        <v>91</v>
      </c>
      <c r="C37" s="5" t="s">
        <v>111</v>
      </c>
      <c r="D37" s="5" t="s">
        <v>121</v>
      </c>
      <c r="E37" s="5" t="s">
        <v>124</v>
      </c>
      <c r="F37" s="23">
        <v>46024</v>
      </c>
      <c r="G37" s="23">
        <v>46410</v>
      </c>
      <c r="H37" s="14">
        <v>4000</v>
      </c>
      <c r="I37" s="14">
        <v>2618</v>
      </c>
      <c r="J37" s="24">
        <v>0.62</v>
      </c>
      <c r="K37" s="25">
        <f t="shared" ref="K37:K68" si="1">MIN(1,MAX(0,(DATE(2026,9,30)-F37)/(G37-F37)))</f>
        <v>0.70207253886010368</v>
      </c>
      <c r="L37" s="26">
        <v>4.0999999999999996</v>
      </c>
    </row>
    <row r="38" spans="1:12" x14ac:dyDescent="0.3">
      <c r="A38" s="5" t="s">
        <v>178</v>
      </c>
      <c r="B38" s="5" t="s">
        <v>115</v>
      </c>
      <c r="C38" s="5" t="s">
        <v>92</v>
      </c>
      <c r="D38" s="5" t="s">
        <v>165</v>
      </c>
      <c r="E38" s="5" t="s">
        <v>179</v>
      </c>
      <c r="F38" s="23">
        <v>46026</v>
      </c>
      <c r="G38" s="23">
        <v>46350</v>
      </c>
      <c r="H38" s="14">
        <v>2500</v>
      </c>
      <c r="I38" s="14">
        <v>1970</v>
      </c>
      <c r="J38" s="24">
        <v>0.81</v>
      </c>
      <c r="K38" s="25">
        <f t="shared" si="1"/>
        <v>0.83024691358024694</v>
      </c>
      <c r="L38" s="26">
        <v>4.4000000000000004</v>
      </c>
    </row>
    <row r="39" spans="1:12" x14ac:dyDescent="0.3">
      <c r="A39" s="5" t="s">
        <v>180</v>
      </c>
      <c r="B39" s="5" t="s">
        <v>91</v>
      </c>
      <c r="C39" s="5" t="s">
        <v>111</v>
      </c>
      <c r="D39" s="5" t="s">
        <v>131</v>
      </c>
      <c r="E39" s="5" t="s">
        <v>181</v>
      </c>
      <c r="F39" s="23">
        <v>46037</v>
      </c>
      <c r="G39" s="23">
        <v>46481</v>
      </c>
      <c r="H39" s="14">
        <v>1500</v>
      </c>
      <c r="I39" s="14">
        <v>814</v>
      </c>
      <c r="J39" s="24">
        <v>0.53</v>
      </c>
      <c r="K39" s="25">
        <f t="shared" si="1"/>
        <v>0.58108108108108103</v>
      </c>
      <c r="L39" s="26">
        <v>3.8</v>
      </c>
    </row>
    <row r="40" spans="1:12" x14ac:dyDescent="0.3">
      <c r="A40" s="5" t="s">
        <v>182</v>
      </c>
      <c r="B40" s="5" t="s">
        <v>128</v>
      </c>
      <c r="C40" s="5" t="s">
        <v>102</v>
      </c>
      <c r="D40" s="5" t="s">
        <v>152</v>
      </c>
      <c r="E40" s="5" t="s">
        <v>183</v>
      </c>
      <c r="F40" s="23">
        <v>46038</v>
      </c>
      <c r="G40" s="23">
        <v>46360</v>
      </c>
      <c r="H40" s="14">
        <v>2500</v>
      </c>
      <c r="I40" s="14">
        <v>1951</v>
      </c>
      <c r="J40" s="24">
        <v>0.77</v>
      </c>
      <c r="K40" s="25">
        <f t="shared" si="1"/>
        <v>0.79813664596273293</v>
      </c>
      <c r="L40" s="26">
        <v>4</v>
      </c>
    </row>
    <row r="41" spans="1:12" x14ac:dyDescent="0.3">
      <c r="A41" s="5" t="s">
        <v>184</v>
      </c>
      <c r="B41" s="5" t="s">
        <v>101</v>
      </c>
      <c r="C41" s="5" t="s">
        <v>92</v>
      </c>
      <c r="D41" s="5" t="s">
        <v>123</v>
      </c>
      <c r="E41" s="5" t="s">
        <v>94</v>
      </c>
      <c r="F41" s="23">
        <v>46041</v>
      </c>
      <c r="G41" s="23">
        <v>46405</v>
      </c>
      <c r="H41" s="14">
        <v>800</v>
      </c>
      <c r="I41" s="14">
        <v>394</v>
      </c>
      <c r="J41" s="24">
        <v>0.56000000000000005</v>
      </c>
      <c r="K41" s="25">
        <f t="shared" si="1"/>
        <v>0.69780219780219777</v>
      </c>
      <c r="L41" s="26">
        <v>4.9000000000000004</v>
      </c>
    </row>
    <row r="42" spans="1:12" x14ac:dyDescent="0.3">
      <c r="A42" s="5" t="s">
        <v>185</v>
      </c>
      <c r="B42" s="5" t="s">
        <v>128</v>
      </c>
      <c r="C42" s="5" t="s">
        <v>111</v>
      </c>
      <c r="D42" s="5" t="s">
        <v>186</v>
      </c>
      <c r="E42" s="5" t="s">
        <v>187</v>
      </c>
      <c r="F42" s="23">
        <v>46042</v>
      </c>
      <c r="G42" s="23">
        <v>46344</v>
      </c>
      <c r="H42" s="14">
        <v>7000</v>
      </c>
      <c r="I42" s="14">
        <v>4785</v>
      </c>
      <c r="J42" s="24">
        <v>0.78</v>
      </c>
      <c r="K42" s="25">
        <f t="shared" si="1"/>
        <v>0.83774834437086088</v>
      </c>
      <c r="L42" s="26">
        <v>4.2</v>
      </c>
    </row>
    <row r="43" spans="1:12" x14ac:dyDescent="0.3">
      <c r="A43" s="5" t="s">
        <v>188</v>
      </c>
      <c r="B43" s="5" t="s">
        <v>96</v>
      </c>
      <c r="C43" s="5" t="s">
        <v>102</v>
      </c>
      <c r="D43" s="5" t="s">
        <v>189</v>
      </c>
      <c r="E43" s="5" t="s">
        <v>190</v>
      </c>
      <c r="F43" s="23">
        <v>46046</v>
      </c>
      <c r="G43" s="23">
        <v>46471</v>
      </c>
      <c r="H43" s="14">
        <v>3000</v>
      </c>
      <c r="I43" s="14">
        <v>1852</v>
      </c>
      <c r="J43" s="24">
        <v>0.6</v>
      </c>
      <c r="K43" s="25">
        <f t="shared" si="1"/>
        <v>0.58588235294117652</v>
      </c>
      <c r="L43" s="26">
        <v>4.3</v>
      </c>
    </row>
    <row r="44" spans="1:12" x14ac:dyDescent="0.3">
      <c r="A44" s="5" t="s">
        <v>191</v>
      </c>
      <c r="B44" s="5" t="s">
        <v>91</v>
      </c>
      <c r="C44" s="5" t="s">
        <v>97</v>
      </c>
      <c r="D44" s="5" t="s">
        <v>192</v>
      </c>
      <c r="E44" s="5" t="s">
        <v>193</v>
      </c>
      <c r="F44" s="23">
        <v>46047</v>
      </c>
      <c r="G44" s="23">
        <v>46356</v>
      </c>
      <c r="H44" s="14">
        <v>5500</v>
      </c>
      <c r="I44" s="14">
        <v>4595</v>
      </c>
      <c r="J44" s="24">
        <v>0.8</v>
      </c>
      <c r="K44" s="25">
        <f t="shared" si="1"/>
        <v>0.80258899676375406</v>
      </c>
      <c r="L44" s="26">
        <v>3.8</v>
      </c>
    </row>
    <row r="45" spans="1:12" x14ac:dyDescent="0.3">
      <c r="A45" s="5" t="s">
        <v>194</v>
      </c>
      <c r="B45" s="5" t="s">
        <v>91</v>
      </c>
      <c r="C45" s="5" t="s">
        <v>102</v>
      </c>
      <c r="D45" s="5" t="s">
        <v>129</v>
      </c>
      <c r="E45" s="5" t="s">
        <v>195</v>
      </c>
      <c r="F45" s="23">
        <v>46047</v>
      </c>
      <c r="G45" s="23">
        <v>46456</v>
      </c>
      <c r="H45" s="14">
        <v>600</v>
      </c>
      <c r="I45" s="14">
        <v>359</v>
      </c>
      <c r="J45" s="24">
        <v>0.55000000000000004</v>
      </c>
      <c r="K45" s="25">
        <f t="shared" si="1"/>
        <v>0.60635696821515894</v>
      </c>
      <c r="L45" s="26">
        <v>3.2</v>
      </c>
    </row>
    <row r="46" spans="1:12" x14ac:dyDescent="0.3">
      <c r="A46" s="5" t="s">
        <v>196</v>
      </c>
      <c r="B46" s="5" t="s">
        <v>91</v>
      </c>
      <c r="C46" s="5" t="s">
        <v>97</v>
      </c>
      <c r="D46" s="5" t="s">
        <v>197</v>
      </c>
      <c r="E46" s="5" t="s">
        <v>198</v>
      </c>
      <c r="F46" s="23">
        <v>46053</v>
      </c>
      <c r="G46" s="23">
        <v>46462</v>
      </c>
      <c r="H46" s="14">
        <v>800</v>
      </c>
      <c r="I46" s="14">
        <v>332</v>
      </c>
      <c r="J46" s="24">
        <v>0.49</v>
      </c>
      <c r="K46" s="25">
        <f t="shared" si="1"/>
        <v>0.59168704156479213</v>
      </c>
      <c r="L46" s="26">
        <v>3.5</v>
      </c>
    </row>
    <row r="47" spans="1:12" x14ac:dyDescent="0.3">
      <c r="A47" s="5" t="s">
        <v>199</v>
      </c>
      <c r="B47" s="5" t="s">
        <v>128</v>
      </c>
      <c r="C47" s="5" t="s">
        <v>97</v>
      </c>
      <c r="D47" s="5" t="s">
        <v>106</v>
      </c>
      <c r="E47" s="5" t="s">
        <v>144</v>
      </c>
      <c r="F47" s="23">
        <v>46053</v>
      </c>
      <c r="G47" s="23">
        <v>46354</v>
      </c>
      <c r="H47" s="14">
        <v>800</v>
      </c>
      <c r="I47" s="14">
        <v>612</v>
      </c>
      <c r="J47" s="24">
        <v>0.74</v>
      </c>
      <c r="K47" s="25">
        <f t="shared" si="1"/>
        <v>0.8039867109634552</v>
      </c>
      <c r="L47" s="26">
        <v>4.9000000000000004</v>
      </c>
    </row>
    <row r="48" spans="1:12" x14ac:dyDescent="0.3">
      <c r="A48" s="5" t="s">
        <v>200</v>
      </c>
      <c r="B48" s="5" t="s">
        <v>115</v>
      </c>
      <c r="C48" s="5" t="s">
        <v>92</v>
      </c>
      <c r="D48" s="5" t="s">
        <v>93</v>
      </c>
      <c r="E48" s="5" t="s">
        <v>201</v>
      </c>
      <c r="F48" s="23">
        <v>46054</v>
      </c>
      <c r="G48" s="23">
        <v>46398</v>
      </c>
      <c r="H48" s="14">
        <v>2500</v>
      </c>
      <c r="I48" s="14">
        <v>1273</v>
      </c>
      <c r="J48" s="24">
        <v>0.55000000000000004</v>
      </c>
      <c r="K48" s="25">
        <f t="shared" si="1"/>
        <v>0.70058139534883723</v>
      </c>
      <c r="L48" s="26">
        <v>4</v>
      </c>
    </row>
    <row r="49" spans="1:12" x14ac:dyDescent="0.3">
      <c r="A49" s="5" t="s">
        <v>202</v>
      </c>
      <c r="B49" s="5" t="s">
        <v>137</v>
      </c>
      <c r="C49" s="5" t="s">
        <v>92</v>
      </c>
      <c r="D49" s="5" t="s">
        <v>158</v>
      </c>
      <c r="E49" s="5" t="s">
        <v>203</v>
      </c>
      <c r="F49" s="23">
        <v>46055</v>
      </c>
      <c r="G49" s="23">
        <v>46502</v>
      </c>
      <c r="H49" s="14">
        <v>400</v>
      </c>
      <c r="I49" s="14">
        <v>198</v>
      </c>
      <c r="J49" s="24">
        <v>0.55000000000000004</v>
      </c>
      <c r="K49" s="25">
        <f t="shared" si="1"/>
        <v>0.53691275167785235</v>
      </c>
      <c r="L49" s="26">
        <v>4.2</v>
      </c>
    </row>
    <row r="50" spans="1:12" x14ac:dyDescent="0.3">
      <c r="A50" s="5" t="s">
        <v>204</v>
      </c>
      <c r="B50" s="5" t="s">
        <v>115</v>
      </c>
      <c r="C50" s="5" t="s">
        <v>97</v>
      </c>
      <c r="D50" s="5" t="s">
        <v>123</v>
      </c>
      <c r="E50" s="5" t="s">
        <v>205</v>
      </c>
      <c r="F50" s="23">
        <v>46061</v>
      </c>
      <c r="G50" s="23">
        <v>46332</v>
      </c>
      <c r="H50" s="14">
        <v>7000</v>
      </c>
      <c r="I50" s="14">
        <v>5751</v>
      </c>
      <c r="J50" s="24">
        <v>0.76</v>
      </c>
      <c r="K50" s="25">
        <f t="shared" si="1"/>
        <v>0.86346863468634683</v>
      </c>
      <c r="L50" s="26">
        <v>4.9000000000000004</v>
      </c>
    </row>
    <row r="51" spans="1:12" x14ac:dyDescent="0.3">
      <c r="A51" s="5" t="s">
        <v>206</v>
      </c>
      <c r="B51" s="5" t="s">
        <v>91</v>
      </c>
      <c r="C51" s="5" t="s">
        <v>97</v>
      </c>
      <c r="D51" s="5" t="s">
        <v>112</v>
      </c>
      <c r="E51" s="5" t="s">
        <v>94</v>
      </c>
      <c r="F51" s="23">
        <v>46062</v>
      </c>
      <c r="G51" s="23">
        <v>46504</v>
      </c>
      <c r="H51" s="14">
        <v>400</v>
      </c>
      <c r="I51" s="14">
        <v>210</v>
      </c>
      <c r="J51" s="24">
        <v>0.43</v>
      </c>
      <c r="K51" s="25">
        <f t="shared" si="1"/>
        <v>0.52714932126696834</v>
      </c>
      <c r="L51" s="26">
        <v>4.0999999999999996</v>
      </c>
    </row>
    <row r="52" spans="1:12" x14ac:dyDescent="0.3">
      <c r="A52" s="5" t="s">
        <v>207</v>
      </c>
      <c r="B52" s="5" t="s">
        <v>115</v>
      </c>
      <c r="C52" s="5" t="s">
        <v>102</v>
      </c>
      <c r="D52" s="5" t="s">
        <v>106</v>
      </c>
      <c r="E52" s="5" t="s">
        <v>208</v>
      </c>
      <c r="F52" s="23">
        <v>46062</v>
      </c>
      <c r="G52" s="23">
        <v>46395</v>
      </c>
      <c r="H52" s="14">
        <v>5500</v>
      </c>
      <c r="I52" s="14">
        <v>3845</v>
      </c>
      <c r="J52" s="24">
        <v>0.73</v>
      </c>
      <c r="K52" s="25">
        <f t="shared" si="1"/>
        <v>0.6996996996996997</v>
      </c>
      <c r="L52" s="26">
        <v>4.0999999999999996</v>
      </c>
    </row>
    <row r="53" spans="1:12" x14ac:dyDescent="0.3">
      <c r="A53" s="5" t="s">
        <v>209</v>
      </c>
      <c r="B53" s="5" t="s">
        <v>91</v>
      </c>
      <c r="C53" s="5" t="s">
        <v>102</v>
      </c>
      <c r="D53" s="5" t="s">
        <v>210</v>
      </c>
      <c r="E53" s="5" t="s">
        <v>211</v>
      </c>
      <c r="F53" s="23">
        <v>46063</v>
      </c>
      <c r="G53" s="23">
        <v>46399</v>
      </c>
      <c r="H53" s="14">
        <v>1200</v>
      </c>
      <c r="I53" s="14">
        <v>836</v>
      </c>
      <c r="J53" s="24">
        <v>0.65</v>
      </c>
      <c r="K53" s="25">
        <f t="shared" si="1"/>
        <v>0.69047619047619047</v>
      </c>
      <c r="L53" s="26">
        <v>3.7</v>
      </c>
    </row>
    <row r="54" spans="1:12" x14ac:dyDescent="0.3">
      <c r="A54" s="5" t="s">
        <v>212</v>
      </c>
      <c r="B54" s="5" t="s">
        <v>115</v>
      </c>
      <c r="C54" s="5" t="s">
        <v>97</v>
      </c>
      <c r="D54" s="5" t="s">
        <v>109</v>
      </c>
      <c r="E54" s="5" t="s">
        <v>213</v>
      </c>
      <c r="F54" s="23">
        <v>46064</v>
      </c>
      <c r="G54" s="23">
        <v>46415</v>
      </c>
      <c r="H54" s="14">
        <v>3000</v>
      </c>
      <c r="I54" s="14">
        <v>1613</v>
      </c>
      <c r="J54" s="24">
        <v>0.52</v>
      </c>
      <c r="K54" s="25">
        <f t="shared" si="1"/>
        <v>0.65811965811965811</v>
      </c>
      <c r="L54" s="26">
        <v>3.6</v>
      </c>
    </row>
    <row r="55" spans="1:12" x14ac:dyDescent="0.3">
      <c r="A55" s="5" t="s">
        <v>214</v>
      </c>
      <c r="B55" s="5" t="s">
        <v>101</v>
      </c>
      <c r="C55" s="5" t="s">
        <v>92</v>
      </c>
      <c r="D55" s="5" t="s">
        <v>189</v>
      </c>
      <c r="E55" s="5" t="s">
        <v>132</v>
      </c>
      <c r="F55" s="23">
        <v>46064</v>
      </c>
      <c r="G55" s="23">
        <v>46483</v>
      </c>
      <c r="H55" s="14">
        <v>1500</v>
      </c>
      <c r="I55" s="14">
        <v>837</v>
      </c>
      <c r="J55" s="24">
        <v>0.61</v>
      </c>
      <c r="K55" s="25">
        <f t="shared" si="1"/>
        <v>0.55131264916467781</v>
      </c>
      <c r="L55" s="26">
        <v>3.7</v>
      </c>
    </row>
    <row r="56" spans="1:12" x14ac:dyDescent="0.3">
      <c r="A56" s="5" t="s">
        <v>215</v>
      </c>
      <c r="B56" s="5" t="s">
        <v>96</v>
      </c>
      <c r="C56" s="5" t="s">
        <v>102</v>
      </c>
      <c r="D56" s="5" t="s">
        <v>126</v>
      </c>
      <c r="E56" s="5" t="s">
        <v>181</v>
      </c>
      <c r="F56" s="23">
        <v>46065</v>
      </c>
      <c r="G56" s="23">
        <v>46363</v>
      </c>
      <c r="H56" s="14">
        <v>3000</v>
      </c>
      <c r="I56" s="14">
        <v>1905</v>
      </c>
      <c r="J56" s="24">
        <v>0.71</v>
      </c>
      <c r="K56" s="25">
        <f t="shared" si="1"/>
        <v>0.77181208053691275</v>
      </c>
      <c r="L56" s="26">
        <v>3.9</v>
      </c>
    </row>
    <row r="57" spans="1:12" x14ac:dyDescent="0.3">
      <c r="A57" s="5" t="s">
        <v>216</v>
      </c>
      <c r="B57" s="5" t="s">
        <v>91</v>
      </c>
      <c r="C57" s="5" t="s">
        <v>102</v>
      </c>
      <c r="D57" s="5" t="s">
        <v>217</v>
      </c>
      <c r="E57" s="5" t="s">
        <v>94</v>
      </c>
      <c r="F57" s="23">
        <v>46065</v>
      </c>
      <c r="G57" s="23">
        <v>46462</v>
      </c>
      <c r="H57" s="14">
        <v>600</v>
      </c>
      <c r="I57" s="14">
        <v>352</v>
      </c>
      <c r="J57" s="24">
        <v>0.57999999999999996</v>
      </c>
      <c r="K57" s="25">
        <f t="shared" si="1"/>
        <v>0.57934508816120911</v>
      </c>
      <c r="L57" s="26">
        <v>3.8</v>
      </c>
    </row>
    <row r="58" spans="1:12" x14ac:dyDescent="0.3">
      <c r="A58" s="5" t="s">
        <v>218</v>
      </c>
      <c r="B58" s="5" t="s">
        <v>91</v>
      </c>
      <c r="C58" s="5" t="s">
        <v>97</v>
      </c>
      <c r="D58" s="5" t="s">
        <v>106</v>
      </c>
      <c r="E58" s="5" t="s">
        <v>219</v>
      </c>
      <c r="F58" s="23">
        <v>46066</v>
      </c>
      <c r="G58" s="23">
        <v>46547</v>
      </c>
      <c r="H58" s="14">
        <v>600</v>
      </c>
      <c r="I58" s="14">
        <v>216</v>
      </c>
      <c r="J58" s="24">
        <v>0.35</v>
      </c>
      <c r="K58" s="25">
        <f t="shared" si="1"/>
        <v>0.47609147609147612</v>
      </c>
      <c r="L58" s="26">
        <v>3.5</v>
      </c>
    </row>
    <row r="59" spans="1:12" x14ac:dyDescent="0.3">
      <c r="A59" s="5" t="s">
        <v>220</v>
      </c>
      <c r="B59" s="5" t="s">
        <v>137</v>
      </c>
      <c r="C59" s="5" t="s">
        <v>97</v>
      </c>
      <c r="D59" s="5" t="s">
        <v>129</v>
      </c>
      <c r="E59" s="5" t="s">
        <v>221</v>
      </c>
      <c r="F59" s="23">
        <v>46066</v>
      </c>
      <c r="G59" s="23">
        <v>46490</v>
      </c>
      <c r="H59" s="14">
        <v>600</v>
      </c>
      <c r="I59" s="14">
        <v>309</v>
      </c>
      <c r="J59" s="24">
        <v>0.51</v>
      </c>
      <c r="K59" s="25">
        <f t="shared" si="1"/>
        <v>0.54009433962264153</v>
      </c>
      <c r="L59" s="26">
        <v>3.8</v>
      </c>
    </row>
    <row r="60" spans="1:12" x14ac:dyDescent="0.3">
      <c r="A60" s="5" t="s">
        <v>222</v>
      </c>
      <c r="B60" s="5" t="s">
        <v>91</v>
      </c>
      <c r="C60" s="5" t="s">
        <v>111</v>
      </c>
      <c r="D60" s="5" t="s">
        <v>171</v>
      </c>
      <c r="E60" s="5" t="s">
        <v>223</v>
      </c>
      <c r="F60" s="23">
        <v>46068</v>
      </c>
      <c r="G60" s="23">
        <v>46358</v>
      </c>
      <c r="H60" s="14">
        <v>3000</v>
      </c>
      <c r="I60" s="14">
        <v>2323</v>
      </c>
      <c r="J60" s="24">
        <v>0.79</v>
      </c>
      <c r="K60" s="25">
        <f t="shared" si="1"/>
        <v>0.78275862068965518</v>
      </c>
      <c r="L60" s="26">
        <v>4.3</v>
      </c>
    </row>
    <row r="61" spans="1:12" x14ac:dyDescent="0.3">
      <c r="A61" s="5" t="s">
        <v>224</v>
      </c>
      <c r="B61" s="5" t="s">
        <v>91</v>
      </c>
      <c r="C61" s="5" t="s">
        <v>97</v>
      </c>
      <c r="D61" s="5" t="s">
        <v>138</v>
      </c>
      <c r="E61" s="5" t="s">
        <v>225</v>
      </c>
      <c r="F61" s="23">
        <v>46069</v>
      </c>
      <c r="G61" s="23">
        <v>46526</v>
      </c>
      <c r="H61" s="14">
        <v>1000</v>
      </c>
      <c r="I61" s="14">
        <v>345</v>
      </c>
      <c r="J61" s="24">
        <v>0.28999999999999998</v>
      </c>
      <c r="K61" s="25">
        <f t="shared" si="1"/>
        <v>0.49452954048140046</v>
      </c>
      <c r="L61" s="26">
        <v>3.9</v>
      </c>
    </row>
    <row r="62" spans="1:12" x14ac:dyDescent="0.3">
      <c r="A62" s="5" t="s">
        <v>226</v>
      </c>
      <c r="B62" s="5" t="s">
        <v>101</v>
      </c>
      <c r="C62" s="5" t="s">
        <v>97</v>
      </c>
      <c r="D62" s="5" t="s">
        <v>156</v>
      </c>
      <c r="E62" s="5" t="s">
        <v>227</v>
      </c>
      <c r="F62" s="23">
        <v>46075</v>
      </c>
      <c r="G62" s="23">
        <v>46400</v>
      </c>
      <c r="H62" s="14">
        <v>1500</v>
      </c>
      <c r="I62" s="14">
        <v>940</v>
      </c>
      <c r="J62" s="24">
        <v>0.67</v>
      </c>
      <c r="K62" s="25">
        <f t="shared" si="1"/>
        <v>0.67692307692307696</v>
      </c>
      <c r="L62" s="26">
        <v>3.6</v>
      </c>
    </row>
    <row r="63" spans="1:12" x14ac:dyDescent="0.3">
      <c r="A63" s="5" t="s">
        <v>228</v>
      </c>
      <c r="B63" s="5" t="s">
        <v>91</v>
      </c>
      <c r="C63" s="5" t="s">
        <v>97</v>
      </c>
      <c r="D63" s="5" t="s">
        <v>229</v>
      </c>
      <c r="E63" s="5" t="s">
        <v>148</v>
      </c>
      <c r="F63" s="23">
        <v>46076</v>
      </c>
      <c r="G63" s="23">
        <v>46549</v>
      </c>
      <c r="H63" s="14">
        <v>2500</v>
      </c>
      <c r="I63" s="14">
        <v>605</v>
      </c>
      <c r="J63" s="24">
        <v>0.26</v>
      </c>
      <c r="K63" s="25">
        <f t="shared" si="1"/>
        <v>0.46300211416490489</v>
      </c>
      <c r="L63" s="26">
        <v>3.6</v>
      </c>
    </row>
    <row r="64" spans="1:12" x14ac:dyDescent="0.3">
      <c r="A64" s="5" t="s">
        <v>230</v>
      </c>
      <c r="B64" s="5" t="s">
        <v>137</v>
      </c>
      <c r="C64" s="5" t="s">
        <v>102</v>
      </c>
      <c r="D64" s="5" t="s">
        <v>129</v>
      </c>
      <c r="E64" s="5" t="s">
        <v>187</v>
      </c>
      <c r="F64" s="23">
        <v>46076</v>
      </c>
      <c r="G64" s="23">
        <v>46347</v>
      </c>
      <c r="H64" s="14">
        <v>4000</v>
      </c>
      <c r="I64" s="14">
        <v>3241</v>
      </c>
      <c r="J64" s="24">
        <v>0.81</v>
      </c>
      <c r="K64" s="25">
        <f t="shared" si="1"/>
        <v>0.80811808118081185</v>
      </c>
      <c r="L64" s="26">
        <v>5</v>
      </c>
    </row>
    <row r="65" spans="1:12" x14ac:dyDescent="0.3">
      <c r="A65" s="5" t="s">
        <v>231</v>
      </c>
      <c r="B65" s="5" t="s">
        <v>115</v>
      </c>
      <c r="C65" s="5" t="s">
        <v>92</v>
      </c>
      <c r="D65" s="5" t="s">
        <v>109</v>
      </c>
      <c r="E65" s="5" t="s">
        <v>232</v>
      </c>
      <c r="F65" s="23">
        <v>46081</v>
      </c>
      <c r="G65" s="23">
        <v>46392</v>
      </c>
      <c r="H65" s="14">
        <v>800</v>
      </c>
      <c r="I65" s="14">
        <v>767</v>
      </c>
      <c r="J65" s="24">
        <v>0.84</v>
      </c>
      <c r="K65" s="25">
        <f t="shared" si="1"/>
        <v>0.68810289389067525</v>
      </c>
      <c r="L65" s="26">
        <v>3.8</v>
      </c>
    </row>
    <row r="66" spans="1:12" x14ac:dyDescent="0.3">
      <c r="A66" s="5" t="s">
        <v>233</v>
      </c>
      <c r="B66" s="5" t="s">
        <v>91</v>
      </c>
      <c r="C66" s="5" t="s">
        <v>102</v>
      </c>
      <c r="D66" s="5" t="s">
        <v>112</v>
      </c>
      <c r="E66" s="5" t="s">
        <v>234</v>
      </c>
      <c r="F66" s="23">
        <v>46081</v>
      </c>
      <c r="G66" s="23">
        <v>46383</v>
      </c>
      <c r="H66" s="14">
        <v>1200</v>
      </c>
      <c r="I66" s="14">
        <v>863</v>
      </c>
      <c r="J66" s="24">
        <v>0.71</v>
      </c>
      <c r="K66" s="25">
        <f t="shared" si="1"/>
        <v>0.70860927152317876</v>
      </c>
      <c r="L66" s="26">
        <v>3.8</v>
      </c>
    </row>
    <row r="67" spans="1:12" x14ac:dyDescent="0.3">
      <c r="A67" s="5" t="s">
        <v>235</v>
      </c>
      <c r="B67" s="5" t="s">
        <v>115</v>
      </c>
      <c r="C67" s="5" t="s">
        <v>102</v>
      </c>
      <c r="D67" s="5" t="s">
        <v>171</v>
      </c>
      <c r="E67" s="5" t="s">
        <v>236</v>
      </c>
      <c r="F67" s="23">
        <v>46083</v>
      </c>
      <c r="G67" s="23">
        <v>46530</v>
      </c>
      <c r="H67" s="14">
        <v>5500</v>
      </c>
      <c r="I67" s="14">
        <v>2409</v>
      </c>
      <c r="J67" s="24">
        <v>0.44</v>
      </c>
      <c r="K67" s="25">
        <f t="shared" si="1"/>
        <v>0.47427293064876958</v>
      </c>
      <c r="L67" s="26">
        <v>3.9</v>
      </c>
    </row>
    <row r="68" spans="1:12" x14ac:dyDescent="0.3">
      <c r="A68" s="5" t="s">
        <v>237</v>
      </c>
      <c r="B68" s="5" t="s">
        <v>115</v>
      </c>
      <c r="C68" s="5" t="s">
        <v>97</v>
      </c>
      <c r="D68" s="5" t="s">
        <v>192</v>
      </c>
      <c r="E68" s="5" t="s">
        <v>238</v>
      </c>
      <c r="F68" s="23">
        <v>46083</v>
      </c>
      <c r="G68" s="23">
        <v>46505</v>
      </c>
      <c r="H68" s="14">
        <v>500</v>
      </c>
      <c r="I68" s="14">
        <v>237</v>
      </c>
      <c r="J68" s="24">
        <v>0.44</v>
      </c>
      <c r="K68" s="25">
        <f t="shared" si="1"/>
        <v>0.50236966824644547</v>
      </c>
      <c r="L68" s="26">
        <v>4.8</v>
      </c>
    </row>
    <row r="69" spans="1:12" x14ac:dyDescent="0.3">
      <c r="A69" s="5" t="s">
        <v>239</v>
      </c>
      <c r="B69" s="5" t="s">
        <v>115</v>
      </c>
      <c r="C69" s="5" t="s">
        <v>92</v>
      </c>
      <c r="D69" s="5" t="s">
        <v>152</v>
      </c>
      <c r="E69" s="5" t="s">
        <v>240</v>
      </c>
      <c r="F69" s="23">
        <v>46084</v>
      </c>
      <c r="G69" s="23">
        <v>46477</v>
      </c>
      <c r="H69" s="14">
        <v>600</v>
      </c>
      <c r="I69" s="14">
        <v>300</v>
      </c>
      <c r="J69" s="24">
        <v>0.49</v>
      </c>
      <c r="K69" s="25">
        <f t="shared" ref="K69:K100" si="2">MIN(1,MAX(0,(DATE(2026,9,30)-F69)/(G69-F69)))</f>
        <v>0.53689567430025442</v>
      </c>
      <c r="L69" s="26">
        <v>4</v>
      </c>
    </row>
    <row r="70" spans="1:12" x14ac:dyDescent="0.3">
      <c r="A70" s="5" t="s">
        <v>241</v>
      </c>
      <c r="B70" s="5" t="s">
        <v>101</v>
      </c>
      <c r="C70" s="5" t="s">
        <v>92</v>
      </c>
      <c r="D70" s="5" t="s">
        <v>189</v>
      </c>
      <c r="E70" s="5" t="s">
        <v>94</v>
      </c>
      <c r="F70" s="23">
        <v>46085</v>
      </c>
      <c r="G70" s="23">
        <v>46335</v>
      </c>
      <c r="H70" s="14">
        <v>3000</v>
      </c>
      <c r="I70" s="14">
        <v>2446</v>
      </c>
      <c r="J70" s="24">
        <v>0.84</v>
      </c>
      <c r="K70" s="25">
        <f t="shared" si="2"/>
        <v>0.84</v>
      </c>
      <c r="L70" s="26">
        <v>3.9</v>
      </c>
    </row>
    <row r="71" spans="1:12" x14ac:dyDescent="0.3">
      <c r="A71" s="5" t="s">
        <v>242</v>
      </c>
      <c r="B71" s="5" t="s">
        <v>115</v>
      </c>
      <c r="C71" s="5" t="s">
        <v>111</v>
      </c>
      <c r="D71" s="5" t="s">
        <v>146</v>
      </c>
      <c r="E71" s="5" t="s">
        <v>243</v>
      </c>
      <c r="F71" s="23">
        <v>46085</v>
      </c>
      <c r="G71" s="23">
        <v>46534</v>
      </c>
      <c r="H71" s="14">
        <v>300</v>
      </c>
      <c r="I71" s="14">
        <v>133</v>
      </c>
      <c r="J71" s="24">
        <v>0.48</v>
      </c>
      <c r="K71" s="25">
        <f t="shared" si="2"/>
        <v>0.46770601336302897</v>
      </c>
      <c r="L71" s="26">
        <v>3.9</v>
      </c>
    </row>
    <row r="72" spans="1:12" x14ac:dyDescent="0.3">
      <c r="A72" s="5" t="s">
        <v>244</v>
      </c>
      <c r="B72" s="5" t="s">
        <v>91</v>
      </c>
      <c r="C72" s="5" t="s">
        <v>102</v>
      </c>
      <c r="D72" s="5" t="s">
        <v>197</v>
      </c>
      <c r="E72" s="5" t="s">
        <v>245</v>
      </c>
      <c r="F72" s="23">
        <v>46086</v>
      </c>
      <c r="G72" s="23">
        <v>46351</v>
      </c>
      <c r="H72" s="14">
        <v>600</v>
      </c>
      <c r="I72" s="14">
        <v>501</v>
      </c>
      <c r="J72" s="24">
        <v>0.72</v>
      </c>
      <c r="K72" s="25">
        <f t="shared" si="2"/>
        <v>0.78867924528301891</v>
      </c>
      <c r="L72" s="26">
        <v>4.2</v>
      </c>
    </row>
    <row r="73" spans="1:12" x14ac:dyDescent="0.3">
      <c r="A73" s="5" t="s">
        <v>246</v>
      </c>
      <c r="B73" s="5" t="s">
        <v>115</v>
      </c>
      <c r="C73" s="5" t="s">
        <v>111</v>
      </c>
      <c r="D73" s="5" t="s">
        <v>93</v>
      </c>
      <c r="E73" s="5" t="s">
        <v>247</v>
      </c>
      <c r="F73" s="23">
        <v>46087</v>
      </c>
      <c r="G73" s="23">
        <v>46334</v>
      </c>
      <c r="H73" s="14">
        <v>1500</v>
      </c>
      <c r="I73" s="14">
        <v>1374</v>
      </c>
      <c r="J73" s="24">
        <v>0.88</v>
      </c>
      <c r="K73" s="25">
        <f t="shared" si="2"/>
        <v>0.84210526315789469</v>
      </c>
      <c r="L73" s="26">
        <v>4.5</v>
      </c>
    </row>
    <row r="74" spans="1:12" x14ac:dyDescent="0.3">
      <c r="A74" s="5" t="s">
        <v>248</v>
      </c>
      <c r="B74" s="5" t="s">
        <v>96</v>
      </c>
      <c r="C74" s="5" t="s">
        <v>97</v>
      </c>
      <c r="D74" s="5" t="s">
        <v>134</v>
      </c>
      <c r="E74" s="5" t="s">
        <v>94</v>
      </c>
      <c r="F74" s="23">
        <v>46087</v>
      </c>
      <c r="G74" s="23">
        <v>46494</v>
      </c>
      <c r="H74" s="14">
        <v>500</v>
      </c>
      <c r="I74" s="14">
        <v>298</v>
      </c>
      <c r="J74" s="24">
        <v>0.52</v>
      </c>
      <c r="K74" s="25">
        <f t="shared" si="2"/>
        <v>0.51105651105651106</v>
      </c>
      <c r="L74" s="26">
        <v>4.0999999999999996</v>
      </c>
    </row>
    <row r="75" spans="1:12" x14ac:dyDescent="0.3">
      <c r="A75" s="5" t="s">
        <v>249</v>
      </c>
      <c r="B75" s="5" t="s">
        <v>101</v>
      </c>
      <c r="C75" s="5" t="s">
        <v>111</v>
      </c>
      <c r="D75" s="5" t="s">
        <v>93</v>
      </c>
      <c r="E75" s="5" t="s">
        <v>236</v>
      </c>
      <c r="F75" s="23">
        <v>46089</v>
      </c>
      <c r="G75" s="23">
        <v>46430</v>
      </c>
      <c r="H75" s="14">
        <v>600</v>
      </c>
      <c r="I75" s="14">
        <v>346</v>
      </c>
      <c r="J75" s="24">
        <v>0.56999999999999995</v>
      </c>
      <c r="K75" s="25">
        <f t="shared" si="2"/>
        <v>0.60410557184750735</v>
      </c>
      <c r="L75" s="26">
        <v>4.0999999999999996</v>
      </c>
    </row>
    <row r="76" spans="1:12" x14ac:dyDescent="0.3">
      <c r="A76" s="5" t="s">
        <v>250</v>
      </c>
      <c r="B76" s="5" t="s">
        <v>91</v>
      </c>
      <c r="C76" s="5" t="s">
        <v>102</v>
      </c>
      <c r="D76" s="5" t="s">
        <v>98</v>
      </c>
      <c r="E76" s="5" t="s">
        <v>251</v>
      </c>
      <c r="F76" s="23">
        <v>46091</v>
      </c>
      <c r="G76" s="23">
        <v>46480</v>
      </c>
      <c r="H76" s="14">
        <v>4000</v>
      </c>
      <c r="I76" s="14">
        <v>2139</v>
      </c>
      <c r="J76" s="24">
        <v>0.46</v>
      </c>
      <c r="K76" s="25">
        <f t="shared" si="2"/>
        <v>0.52442159383033415</v>
      </c>
      <c r="L76" s="26">
        <v>4.5</v>
      </c>
    </row>
    <row r="77" spans="1:12" x14ac:dyDescent="0.3">
      <c r="A77" s="5" t="s">
        <v>252</v>
      </c>
      <c r="B77" s="5" t="s">
        <v>137</v>
      </c>
      <c r="C77" s="5" t="s">
        <v>92</v>
      </c>
      <c r="D77" s="5" t="s">
        <v>138</v>
      </c>
      <c r="E77" s="5" t="s">
        <v>253</v>
      </c>
      <c r="F77" s="23">
        <v>46091</v>
      </c>
      <c r="G77" s="23">
        <v>46505</v>
      </c>
      <c r="H77" s="14">
        <v>2500</v>
      </c>
      <c r="I77" s="14">
        <v>1486</v>
      </c>
      <c r="J77" s="24">
        <v>0.6</v>
      </c>
      <c r="K77" s="25">
        <f t="shared" si="2"/>
        <v>0.49275362318840582</v>
      </c>
      <c r="L77" s="26">
        <v>4.4000000000000004</v>
      </c>
    </row>
    <row r="78" spans="1:12" x14ac:dyDescent="0.3">
      <c r="A78" s="5" t="s">
        <v>254</v>
      </c>
      <c r="B78" s="5" t="s">
        <v>91</v>
      </c>
      <c r="C78" s="5" t="s">
        <v>97</v>
      </c>
      <c r="D78" s="5" t="s">
        <v>131</v>
      </c>
      <c r="E78" s="5" t="s">
        <v>255</v>
      </c>
      <c r="F78" s="23">
        <v>46099</v>
      </c>
      <c r="G78" s="23">
        <v>46399</v>
      </c>
      <c r="H78" s="14">
        <v>300</v>
      </c>
      <c r="I78" s="14">
        <v>157</v>
      </c>
      <c r="J78" s="24">
        <v>0.47</v>
      </c>
      <c r="K78" s="25">
        <f t="shared" si="2"/>
        <v>0.65333333333333332</v>
      </c>
      <c r="L78" s="26">
        <v>3.7</v>
      </c>
    </row>
    <row r="79" spans="1:12" x14ac:dyDescent="0.3">
      <c r="A79" s="5" t="s">
        <v>256</v>
      </c>
      <c r="B79" s="5" t="s">
        <v>101</v>
      </c>
      <c r="C79" s="5" t="s">
        <v>97</v>
      </c>
      <c r="D79" s="5" t="s">
        <v>103</v>
      </c>
      <c r="E79" s="5" t="s">
        <v>257</v>
      </c>
      <c r="F79" s="23">
        <v>46104</v>
      </c>
      <c r="G79" s="23">
        <v>46335</v>
      </c>
      <c r="H79" s="14">
        <v>400</v>
      </c>
      <c r="I79" s="14">
        <v>387</v>
      </c>
      <c r="J79" s="24">
        <v>0.89</v>
      </c>
      <c r="K79" s="25">
        <f t="shared" si="2"/>
        <v>0.82683982683982682</v>
      </c>
      <c r="L79" s="26">
        <v>4.4000000000000004</v>
      </c>
    </row>
    <row r="80" spans="1:12" x14ac:dyDescent="0.3">
      <c r="A80" s="5" t="s">
        <v>258</v>
      </c>
      <c r="B80" s="5" t="s">
        <v>91</v>
      </c>
      <c r="C80" s="5" t="s">
        <v>97</v>
      </c>
      <c r="D80" s="5" t="s">
        <v>259</v>
      </c>
      <c r="E80" s="5" t="s">
        <v>260</v>
      </c>
      <c r="F80" s="23">
        <v>46105</v>
      </c>
      <c r="G80" s="23">
        <v>46448</v>
      </c>
      <c r="H80" s="14">
        <v>800</v>
      </c>
      <c r="I80" s="14">
        <v>405</v>
      </c>
      <c r="J80" s="24">
        <v>0.42</v>
      </c>
      <c r="K80" s="25">
        <f t="shared" si="2"/>
        <v>0.55393586005830908</v>
      </c>
      <c r="L80" s="26">
        <v>3.1</v>
      </c>
    </row>
    <row r="81" spans="1:12" x14ac:dyDescent="0.3">
      <c r="A81" s="5" t="s">
        <v>261</v>
      </c>
      <c r="B81" s="5" t="s">
        <v>128</v>
      </c>
      <c r="C81" s="5" t="s">
        <v>92</v>
      </c>
      <c r="D81" s="5" t="s">
        <v>262</v>
      </c>
      <c r="E81" s="5" t="s">
        <v>247</v>
      </c>
      <c r="F81" s="23">
        <v>46106</v>
      </c>
      <c r="G81" s="23">
        <v>46418</v>
      </c>
      <c r="H81" s="14">
        <v>4000</v>
      </c>
      <c r="I81" s="14">
        <v>2111</v>
      </c>
      <c r="J81" s="24">
        <v>0.59</v>
      </c>
      <c r="K81" s="25">
        <f t="shared" si="2"/>
        <v>0.60576923076923073</v>
      </c>
      <c r="L81" s="26">
        <v>4</v>
      </c>
    </row>
    <row r="82" spans="1:12" x14ac:dyDescent="0.3">
      <c r="A82" s="5" t="s">
        <v>263</v>
      </c>
      <c r="B82" s="5" t="s">
        <v>96</v>
      </c>
      <c r="C82" s="5" t="s">
        <v>97</v>
      </c>
      <c r="D82" s="5" t="s">
        <v>103</v>
      </c>
      <c r="E82" s="5" t="s">
        <v>264</v>
      </c>
      <c r="F82" s="23">
        <v>46106</v>
      </c>
      <c r="G82" s="23">
        <v>46447</v>
      </c>
      <c r="H82" s="14">
        <v>7000</v>
      </c>
      <c r="I82" s="14">
        <v>2952</v>
      </c>
      <c r="J82" s="24">
        <v>0.41</v>
      </c>
      <c r="K82" s="25">
        <f t="shared" si="2"/>
        <v>0.55425219941348969</v>
      </c>
      <c r="L82" s="26">
        <v>4.5999999999999996</v>
      </c>
    </row>
    <row r="83" spans="1:12" x14ac:dyDescent="0.3">
      <c r="A83" s="5" t="s">
        <v>265</v>
      </c>
      <c r="B83" s="5" t="s">
        <v>128</v>
      </c>
      <c r="C83" s="5" t="s">
        <v>92</v>
      </c>
      <c r="D83" s="5" t="s">
        <v>262</v>
      </c>
      <c r="E83" s="5" t="s">
        <v>266</v>
      </c>
      <c r="F83" s="23">
        <v>46107</v>
      </c>
      <c r="G83" s="23">
        <v>46344</v>
      </c>
      <c r="H83" s="14">
        <v>800</v>
      </c>
      <c r="I83" s="14">
        <v>624</v>
      </c>
      <c r="J83" s="24">
        <v>0.93</v>
      </c>
      <c r="K83" s="25">
        <f t="shared" si="2"/>
        <v>0.7932489451476793</v>
      </c>
      <c r="L83" s="26">
        <v>4.4000000000000004</v>
      </c>
    </row>
    <row r="84" spans="1:12" x14ac:dyDescent="0.3">
      <c r="A84" s="5" t="s">
        <v>267</v>
      </c>
      <c r="B84" s="5" t="s">
        <v>91</v>
      </c>
      <c r="C84" s="5" t="s">
        <v>92</v>
      </c>
      <c r="D84" s="5" t="s">
        <v>229</v>
      </c>
      <c r="E84" s="5" t="s">
        <v>268</v>
      </c>
      <c r="F84" s="23">
        <v>46108</v>
      </c>
      <c r="G84" s="23">
        <v>46333</v>
      </c>
      <c r="H84" s="14">
        <v>300</v>
      </c>
      <c r="I84" s="14">
        <v>233</v>
      </c>
      <c r="J84" s="24">
        <v>0.77</v>
      </c>
      <c r="K84" s="25">
        <f t="shared" si="2"/>
        <v>0.83111111111111113</v>
      </c>
      <c r="L84" s="26">
        <v>3.4</v>
      </c>
    </row>
    <row r="85" spans="1:12" x14ac:dyDescent="0.3">
      <c r="A85" s="5" t="s">
        <v>269</v>
      </c>
      <c r="B85" s="5" t="s">
        <v>115</v>
      </c>
      <c r="C85" s="5" t="s">
        <v>92</v>
      </c>
      <c r="D85" s="5" t="s">
        <v>121</v>
      </c>
      <c r="E85" s="5" t="s">
        <v>270</v>
      </c>
      <c r="F85" s="23">
        <v>46108</v>
      </c>
      <c r="G85" s="23">
        <v>46336</v>
      </c>
      <c r="H85" s="14">
        <v>2500</v>
      </c>
      <c r="I85" s="14">
        <v>2101</v>
      </c>
      <c r="J85" s="24">
        <v>0.78</v>
      </c>
      <c r="K85" s="25">
        <f t="shared" si="2"/>
        <v>0.82017543859649122</v>
      </c>
      <c r="L85" s="26">
        <v>4</v>
      </c>
    </row>
    <row r="86" spans="1:12" x14ac:dyDescent="0.3">
      <c r="A86" s="5" t="s">
        <v>271</v>
      </c>
      <c r="B86" s="5" t="s">
        <v>128</v>
      </c>
      <c r="C86" s="5" t="s">
        <v>102</v>
      </c>
      <c r="D86" s="5" t="s">
        <v>143</v>
      </c>
      <c r="E86" s="5" t="s">
        <v>272</v>
      </c>
      <c r="F86" s="23">
        <v>46113</v>
      </c>
      <c r="G86" s="23">
        <v>46552</v>
      </c>
      <c r="H86" s="14">
        <v>400</v>
      </c>
      <c r="I86" s="14">
        <v>183</v>
      </c>
      <c r="J86" s="24">
        <v>0.47</v>
      </c>
      <c r="K86" s="25">
        <f t="shared" si="2"/>
        <v>0.4145785876993166</v>
      </c>
      <c r="L86" s="26">
        <v>3.7</v>
      </c>
    </row>
    <row r="87" spans="1:12" x14ac:dyDescent="0.3">
      <c r="A87" s="5" t="s">
        <v>273</v>
      </c>
      <c r="B87" s="5" t="s">
        <v>115</v>
      </c>
      <c r="C87" s="5" t="s">
        <v>97</v>
      </c>
      <c r="D87" s="5" t="s">
        <v>146</v>
      </c>
      <c r="E87" s="5" t="s">
        <v>274</v>
      </c>
      <c r="F87" s="23">
        <v>46115</v>
      </c>
      <c r="G87" s="23">
        <v>46485</v>
      </c>
      <c r="H87" s="14">
        <v>400</v>
      </c>
      <c r="I87" s="14">
        <v>140</v>
      </c>
      <c r="J87" s="24">
        <v>0.34</v>
      </c>
      <c r="K87" s="25">
        <f t="shared" si="2"/>
        <v>0.48648648648648651</v>
      </c>
      <c r="L87" s="26">
        <v>3.9</v>
      </c>
    </row>
    <row r="88" spans="1:12" x14ac:dyDescent="0.3">
      <c r="A88" s="5" t="s">
        <v>275</v>
      </c>
      <c r="B88" s="5" t="s">
        <v>115</v>
      </c>
      <c r="C88" s="5" t="s">
        <v>102</v>
      </c>
      <c r="D88" s="5" t="s">
        <v>138</v>
      </c>
      <c r="E88" s="5" t="s">
        <v>94</v>
      </c>
      <c r="F88" s="23">
        <v>46116</v>
      </c>
      <c r="G88" s="23">
        <v>46465</v>
      </c>
      <c r="H88" s="14">
        <v>1800</v>
      </c>
      <c r="I88" s="14">
        <v>1208</v>
      </c>
      <c r="J88" s="24">
        <v>0.63</v>
      </c>
      <c r="K88" s="25">
        <f t="shared" si="2"/>
        <v>0.5128939828080229</v>
      </c>
      <c r="L88" s="26">
        <v>4.0999999999999996</v>
      </c>
    </row>
    <row r="89" spans="1:12" x14ac:dyDescent="0.3">
      <c r="A89" s="5" t="s">
        <v>276</v>
      </c>
      <c r="B89" s="5" t="s">
        <v>91</v>
      </c>
      <c r="C89" s="5" t="s">
        <v>102</v>
      </c>
      <c r="D89" s="5" t="s">
        <v>98</v>
      </c>
      <c r="E89" s="5" t="s">
        <v>277</v>
      </c>
      <c r="F89" s="23">
        <v>46116</v>
      </c>
      <c r="G89" s="23">
        <v>46544</v>
      </c>
      <c r="H89" s="14">
        <v>1200</v>
      </c>
      <c r="I89" s="14">
        <v>382</v>
      </c>
      <c r="J89" s="24">
        <v>0.32</v>
      </c>
      <c r="K89" s="25">
        <f t="shared" si="2"/>
        <v>0.41822429906542058</v>
      </c>
      <c r="L89" s="26">
        <v>3.5</v>
      </c>
    </row>
    <row r="90" spans="1:12" x14ac:dyDescent="0.3">
      <c r="A90" s="5" t="s">
        <v>278</v>
      </c>
      <c r="B90" s="5" t="s">
        <v>115</v>
      </c>
      <c r="C90" s="5" t="s">
        <v>102</v>
      </c>
      <c r="D90" s="5" t="s">
        <v>121</v>
      </c>
      <c r="E90" s="5" t="s">
        <v>279</v>
      </c>
      <c r="F90" s="23">
        <v>46117</v>
      </c>
      <c r="G90" s="23">
        <v>46525</v>
      </c>
      <c r="H90" s="14">
        <v>300</v>
      </c>
      <c r="I90" s="14">
        <v>150</v>
      </c>
      <c r="J90" s="24">
        <v>0.56000000000000005</v>
      </c>
      <c r="K90" s="25">
        <f t="shared" si="2"/>
        <v>0.43627450980392157</v>
      </c>
      <c r="L90" s="26">
        <v>4.0999999999999996</v>
      </c>
    </row>
    <row r="91" spans="1:12" x14ac:dyDescent="0.3">
      <c r="A91" s="5" t="s">
        <v>280</v>
      </c>
      <c r="B91" s="5" t="s">
        <v>91</v>
      </c>
      <c r="C91" s="5" t="s">
        <v>102</v>
      </c>
      <c r="D91" s="5" t="s">
        <v>262</v>
      </c>
      <c r="E91" s="5" t="s">
        <v>281</v>
      </c>
      <c r="F91" s="23">
        <v>46118</v>
      </c>
      <c r="G91" s="23">
        <v>46514</v>
      </c>
      <c r="H91" s="14">
        <v>1200</v>
      </c>
      <c r="I91" s="14">
        <v>430</v>
      </c>
      <c r="J91" s="24">
        <v>0.41</v>
      </c>
      <c r="K91" s="25">
        <f t="shared" si="2"/>
        <v>0.44696969696969696</v>
      </c>
      <c r="L91" s="26">
        <v>3.7</v>
      </c>
    </row>
    <row r="92" spans="1:12" x14ac:dyDescent="0.3">
      <c r="A92" s="5" t="s">
        <v>282</v>
      </c>
      <c r="B92" s="5" t="s">
        <v>128</v>
      </c>
      <c r="C92" s="5" t="s">
        <v>92</v>
      </c>
      <c r="D92" s="5" t="s">
        <v>93</v>
      </c>
      <c r="E92" s="5" t="s">
        <v>94</v>
      </c>
      <c r="F92" s="23">
        <v>46121</v>
      </c>
      <c r="G92" s="23">
        <v>46546</v>
      </c>
      <c r="H92" s="14">
        <v>1500</v>
      </c>
      <c r="I92" s="14">
        <v>704</v>
      </c>
      <c r="J92" s="24">
        <v>0.49</v>
      </c>
      <c r="K92" s="25">
        <f t="shared" si="2"/>
        <v>0.40941176470588236</v>
      </c>
      <c r="L92" s="26">
        <v>4.4000000000000004</v>
      </c>
    </row>
    <row r="93" spans="1:12" x14ac:dyDescent="0.3">
      <c r="A93" s="5" t="s">
        <v>283</v>
      </c>
      <c r="B93" s="5" t="s">
        <v>115</v>
      </c>
      <c r="C93" s="5" t="s">
        <v>97</v>
      </c>
      <c r="D93" s="5" t="s">
        <v>284</v>
      </c>
      <c r="E93" s="5" t="s">
        <v>94</v>
      </c>
      <c r="F93" s="23">
        <v>46122</v>
      </c>
      <c r="G93" s="23">
        <v>46478</v>
      </c>
      <c r="H93" s="14">
        <v>3000</v>
      </c>
      <c r="I93" s="14">
        <v>1588</v>
      </c>
      <c r="J93" s="24">
        <v>0.52</v>
      </c>
      <c r="K93" s="25">
        <f t="shared" si="2"/>
        <v>0.4859550561797753</v>
      </c>
      <c r="L93" s="26">
        <v>4</v>
      </c>
    </row>
    <row r="94" spans="1:12" x14ac:dyDescent="0.3">
      <c r="A94" s="5" t="s">
        <v>285</v>
      </c>
      <c r="B94" s="5" t="s">
        <v>91</v>
      </c>
      <c r="C94" s="5" t="s">
        <v>92</v>
      </c>
      <c r="D94" s="5" t="s">
        <v>93</v>
      </c>
      <c r="E94" s="5" t="s">
        <v>94</v>
      </c>
      <c r="F94" s="23">
        <v>46123</v>
      </c>
      <c r="G94" s="23">
        <v>46501</v>
      </c>
      <c r="H94" s="14">
        <v>7000</v>
      </c>
      <c r="I94" s="14">
        <v>3131</v>
      </c>
      <c r="J94" s="24">
        <v>0.48</v>
      </c>
      <c r="K94" s="25">
        <f t="shared" si="2"/>
        <v>0.455026455026455</v>
      </c>
      <c r="L94" s="26">
        <v>3.8</v>
      </c>
    </row>
    <row r="95" spans="1:12" x14ac:dyDescent="0.3">
      <c r="A95" s="5" t="s">
        <v>286</v>
      </c>
      <c r="B95" s="5" t="s">
        <v>91</v>
      </c>
      <c r="C95" s="5" t="s">
        <v>97</v>
      </c>
      <c r="D95" s="5" t="s">
        <v>165</v>
      </c>
      <c r="E95" s="5" t="s">
        <v>234</v>
      </c>
      <c r="F95" s="23">
        <v>46125</v>
      </c>
      <c r="G95" s="23">
        <v>46511</v>
      </c>
      <c r="H95" s="14">
        <v>1200</v>
      </c>
      <c r="I95" s="14">
        <v>444</v>
      </c>
      <c r="J95" s="24">
        <v>0.38</v>
      </c>
      <c r="K95" s="25">
        <f t="shared" si="2"/>
        <v>0.44041450777202074</v>
      </c>
      <c r="L95" s="26">
        <v>4.5</v>
      </c>
    </row>
    <row r="96" spans="1:12" x14ac:dyDescent="0.3">
      <c r="A96" s="5" t="s">
        <v>287</v>
      </c>
      <c r="B96" s="5" t="s">
        <v>101</v>
      </c>
      <c r="C96" s="5" t="s">
        <v>97</v>
      </c>
      <c r="D96" s="5" t="s">
        <v>156</v>
      </c>
      <c r="E96" s="5" t="s">
        <v>288</v>
      </c>
      <c r="F96" s="23">
        <v>46131</v>
      </c>
      <c r="G96" s="23">
        <v>46361</v>
      </c>
      <c r="H96" s="14">
        <v>2500</v>
      </c>
      <c r="I96" s="14">
        <v>1905</v>
      </c>
      <c r="J96" s="24">
        <v>0.72</v>
      </c>
      <c r="K96" s="25">
        <f t="shared" si="2"/>
        <v>0.71304347826086956</v>
      </c>
      <c r="L96" s="26">
        <v>3.4</v>
      </c>
    </row>
    <row r="97" spans="1:12" x14ac:dyDescent="0.3">
      <c r="A97" s="5" t="s">
        <v>289</v>
      </c>
      <c r="B97" s="5" t="s">
        <v>115</v>
      </c>
      <c r="C97" s="5" t="s">
        <v>97</v>
      </c>
      <c r="D97" s="5" t="s">
        <v>131</v>
      </c>
      <c r="E97" s="5" t="s">
        <v>290</v>
      </c>
      <c r="F97" s="23">
        <v>46133</v>
      </c>
      <c r="G97" s="23">
        <v>46430</v>
      </c>
      <c r="H97" s="14">
        <v>1000</v>
      </c>
      <c r="I97" s="14">
        <v>718</v>
      </c>
      <c r="J97" s="24">
        <v>0.65</v>
      </c>
      <c r="K97" s="25">
        <f t="shared" si="2"/>
        <v>0.54545454545454541</v>
      </c>
      <c r="L97" s="26">
        <v>4.5</v>
      </c>
    </row>
    <row r="98" spans="1:12" x14ac:dyDescent="0.3">
      <c r="A98" s="5" t="s">
        <v>291</v>
      </c>
      <c r="B98" s="5" t="s">
        <v>91</v>
      </c>
      <c r="C98" s="5" t="s">
        <v>97</v>
      </c>
      <c r="D98" s="5" t="s">
        <v>165</v>
      </c>
      <c r="E98" s="5" t="s">
        <v>292</v>
      </c>
      <c r="F98" s="23">
        <v>46135</v>
      </c>
      <c r="G98" s="23">
        <v>46450</v>
      </c>
      <c r="H98" s="14">
        <v>800</v>
      </c>
      <c r="I98" s="14">
        <v>362</v>
      </c>
      <c r="J98" s="24">
        <v>0.4</v>
      </c>
      <c r="K98" s="25">
        <f t="shared" si="2"/>
        <v>0.50793650793650791</v>
      </c>
      <c r="L98" s="26">
        <v>3.7</v>
      </c>
    </row>
    <row r="99" spans="1:12" x14ac:dyDescent="0.3">
      <c r="A99" s="5" t="s">
        <v>293</v>
      </c>
      <c r="B99" s="5" t="s">
        <v>91</v>
      </c>
      <c r="C99" s="5" t="s">
        <v>92</v>
      </c>
      <c r="D99" s="5" t="s">
        <v>143</v>
      </c>
      <c r="E99" s="5" t="s">
        <v>294</v>
      </c>
      <c r="F99" s="23">
        <v>46137</v>
      </c>
      <c r="G99" s="23">
        <v>46420</v>
      </c>
      <c r="H99" s="14">
        <v>4000</v>
      </c>
      <c r="I99" s="14">
        <v>1707</v>
      </c>
      <c r="J99" s="24">
        <v>0.42</v>
      </c>
      <c r="K99" s="25">
        <f t="shared" si="2"/>
        <v>0.55830388692579502</v>
      </c>
      <c r="L99" s="26">
        <v>3.8</v>
      </c>
    </row>
    <row r="100" spans="1:12" x14ac:dyDescent="0.3">
      <c r="A100" s="5" t="s">
        <v>295</v>
      </c>
      <c r="B100" s="5" t="s">
        <v>91</v>
      </c>
      <c r="C100" s="5" t="s">
        <v>102</v>
      </c>
      <c r="D100" s="5" t="s">
        <v>152</v>
      </c>
      <c r="E100" s="5" t="s">
        <v>94</v>
      </c>
      <c r="F100" s="23">
        <v>46148</v>
      </c>
      <c r="G100" s="23">
        <v>46431</v>
      </c>
      <c r="H100" s="14">
        <v>4000</v>
      </c>
      <c r="I100" s="14">
        <v>1787</v>
      </c>
      <c r="J100" s="24">
        <v>0.43</v>
      </c>
      <c r="K100" s="25">
        <f t="shared" si="2"/>
        <v>0.51943462897526504</v>
      </c>
      <c r="L100" s="26">
        <v>4.3</v>
      </c>
    </row>
    <row r="101" spans="1:12" x14ac:dyDescent="0.3">
      <c r="A101" s="5" t="s">
        <v>296</v>
      </c>
      <c r="B101" s="5" t="s">
        <v>115</v>
      </c>
      <c r="C101" s="5" t="s">
        <v>97</v>
      </c>
      <c r="D101" s="5" t="s">
        <v>297</v>
      </c>
      <c r="E101" s="5" t="s">
        <v>94</v>
      </c>
      <c r="F101" s="23">
        <v>46150</v>
      </c>
      <c r="G101" s="23">
        <v>46340</v>
      </c>
      <c r="H101" s="14">
        <v>4000</v>
      </c>
      <c r="I101" s="14">
        <v>3317</v>
      </c>
      <c r="J101" s="24">
        <v>0.82</v>
      </c>
      <c r="K101" s="25">
        <f t="shared" ref="K101:K132" si="3">MIN(1,MAX(0,(DATE(2026,9,30)-F101)/(G101-F101)))</f>
        <v>0.76315789473684215</v>
      </c>
      <c r="L101" s="26">
        <v>5</v>
      </c>
    </row>
    <row r="102" spans="1:12" x14ac:dyDescent="0.3">
      <c r="A102" s="5" t="s">
        <v>298</v>
      </c>
      <c r="B102" s="5" t="s">
        <v>91</v>
      </c>
      <c r="C102" s="5" t="s">
        <v>92</v>
      </c>
      <c r="D102" s="5" t="s">
        <v>106</v>
      </c>
      <c r="E102" s="5" t="s">
        <v>299</v>
      </c>
      <c r="F102" s="23">
        <v>46150</v>
      </c>
      <c r="G102" s="23">
        <v>46513</v>
      </c>
      <c r="H102" s="14">
        <v>5500</v>
      </c>
      <c r="I102" s="14">
        <v>2146</v>
      </c>
      <c r="J102" s="24">
        <v>0.35</v>
      </c>
      <c r="K102" s="25">
        <f t="shared" si="3"/>
        <v>0.39944903581267216</v>
      </c>
      <c r="L102" s="26">
        <v>3.6</v>
      </c>
    </row>
    <row r="103" spans="1:12" x14ac:dyDescent="0.3">
      <c r="A103" s="5" t="s">
        <v>300</v>
      </c>
      <c r="B103" s="5" t="s">
        <v>115</v>
      </c>
      <c r="C103" s="5" t="s">
        <v>97</v>
      </c>
      <c r="D103" s="5" t="s">
        <v>98</v>
      </c>
      <c r="E103" s="5" t="s">
        <v>301</v>
      </c>
      <c r="F103" s="23">
        <v>46150</v>
      </c>
      <c r="G103" s="23">
        <v>46380</v>
      </c>
      <c r="H103" s="14">
        <v>800</v>
      </c>
      <c r="I103" s="14">
        <v>424</v>
      </c>
      <c r="J103" s="24">
        <v>0.5</v>
      </c>
      <c r="K103" s="25">
        <f t="shared" si="3"/>
        <v>0.63043478260869568</v>
      </c>
      <c r="L103" s="26">
        <v>4.4000000000000004</v>
      </c>
    </row>
    <row r="104" spans="1:12" x14ac:dyDescent="0.3">
      <c r="A104" s="5" t="s">
        <v>302</v>
      </c>
      <c r="B104" s="5" t="s">
        <v>137</v>
      </c>
      <c r="C104" s="5" t="s">
        <v>102</v>
      </c>
      <c r="D104" s="5" t="s">
        <v>126</v>
      </c>
      <c r="E104" s="5" t="s">
        <v>303</v>
      </c>
      <c r="F104" s="23">
        <v>46152</v>
      </c>
      <c r="G104" s="23">
        <v>46481</v>
      </c>
      <c r="H104" s="14">
        <v>1200</v>
      </c>
      <c r="I104" s="14">
        <v>410</v>
      </c>
      <c r="J104" s="24">
        <v>0.32</v>
      </c>
      <c r="K104" s="25">
        <f t="shared" si="3"/>
        <v>0.43465045592705165</v>
      </c>
      <c r="L104" s="26">
        <v>4.2</v>
      </c>
    </row>
    <row r="105" spans="1:12" x14ac:dyDescent="0.3">
      <c r="A105" s="5" t="s">
        <v>304</v>
      </c>
      <c r="B105" s="5" t="s">
        <v>96</v>
      </c>
      <c r="C105" s="5" t="s">
        <v>111</v>
      </c>
      <c r="D105" s="5" t="s">
        <v>156</v>
      </c>
      <c r="E105" s="5" t="s">
        <v>305</v>
      </c>
      <c r="F105" s="23">
        <v>46153</v>
      </c>
      <c r="G105" s="23">
        <v>46511</v>
      </c>
      <c r="H105" s="14">
        <v>1000</v>
      </c>
      <c r="I105" s="14">
        <v>300</v>
      </c>
      <c r="J105" s="24">
        <v>0.3</v>
      </c>
      <c r="K105" s="25">
        <f t="shared" si="3"/>
        <v>0.39664804469273746</v>
      </c>
      <c r="L105" s="26">
        <v>4</v>
      </c>
    </row>
    <row r="106" spans="1:12" x14ac:dyDescent="0.3">
      <c r="A106" s="5" t="s">
        <v>306</v>
      </c>
      <c r="B106" s="5" t="s">
        <v>96</v>
      </c>
      <c r="C106" s="5" t="s">
        <v>92</v>
      </c>
      <c r="D106" s="5" t="s">
        <v>129</v>
      </c>
      <c r="E106" s="5" t="s">
        <v>307</v>
      </c>
      <c r="F106" s="23">
        <v>46155</v>
      </c>
      <c r="G106" s="23">
        <v>46410</v>
      </c>
      <c r="H106" s="14">
        <v>1500</v>
      </c>
      <c r="I106" s="14">
        <v>914</v>
      </c>
      <c r="J106" s="24">
        <v>0.65</v>
      </c>
      <c r="K106" s="25">
        <f t="shared" si="3"/>
        <v>0.5490196078431373</v>
      </c>
      <c r="L106" s="26">
        <v>3.9</v>
      </c>
    </row>
    <row r="107" spans="1:12" x14ac:dyDescent="0.3">
      <c r="A107" s="5" t="s">
        <v>308</v>
      </c>
      <c r="B107" s="5" t="s">
        <v>91</v>
      </c>
      <c r="C107" s="5" t="s">
        <v>111</v>
      </c>
      <c r="D107" s="5" t="s">
        <v>129</v>
      </c>
      <c r="E107" s="5" t="s">
        <v>309</v>
      </c>
      <c r="F107" s="23">
        <v>46155</v>
      </c>
      <c r="G107" s="23">
        <v>46436</v>
      </c>
      <c r="H107" s="14">
        <v>4000</v>
      </c>
      <c r="I107" s="14">
        <v>941</v>
      </c>
      <c r="J107" s="24">
        <v>0.22</v>
      </c>
      <c r="K107" s="25">
        <f t="shared" si="3"/>
        <v>0.49822064056939502</v>
      </c>
      <c r="L107" s="26">
        <v>3.8</v>
      </c>
    </row>
    <row r="108" spans="1:12" x14ac:dyDescent="0.3">
      <c r="A108" s="5" t="s">
        <v>310</v>
      </c>
      <c r="B108" s="5" t="s">
        <v>115</v>
      </c>
      <c r="C108" s="5" t="s">
        <v>102</v>
      </c>
      <c r="D108" s="5" t="s">
        <v>138</v>
      </c>
      <c r="E108" s="5" t="s">
        <v>311</v>
      </c>
      <c r="F108" s="23">
        <v>46157</v>
      </c>
      <c r="G108" s="23">
        <v>46535</v>
      </c>
      <c r="H108" s="14">
        <v>5500</v>
      </c>
      <c r="I108" s="14">
        <v>1542</v>
      </c>
      <c r="J108" s="24">
        <v>0.31</v>
      </c>
      <c r="K108" s="25">
        <f t="shared" si="3"/>
        <v>0.36507936507936506</v>
      </c>
      <c r="L108" s="26">
        <v>4.4000000000000004</v>
      </c>
    </row>
    <row r="109" spans="1:12" x14ac:dyDescent="0.3">
      <c r="A109" s="5" t="s">
        <v>312</v>
      </c>
      <c r="B109" s="5" t="s">
        <v>115</v>
      </c>
      <c r="C109" s="5" t="s">
        <v>97</v>
      </c>
      <c r="D109" s="5" t="s">
        <v>98</v>
      </c>
      <c r="E109" s="5" t="s">
        <v>260</v>
      </c>
      <c r="F109" s="23">
        <v>46158</v>
      </c>
      <c r="G109" s="23">
        <v>46382</v>
      </c>
      <c r="H109" s="14">
        <v>800</v>
      </c>
      <c r="I109" s="14">
        <v>570</v>
      </c>
      <c r="J109" s="24">
        <v>0.65</v>
      </c>
      <c r="K109" s="25">
        <f t="shared" si="3"/>
        <v>0.6116071428571429</v>
      </c>
      <c r="L109" s="26">
        <v>4</v>
      </c>
    </row>
    <row r="110" spans="1:12" x14ac:dyDescent="0.3">
      <c r="A110" s="5" t="s">
        <v>313</v>
      </c>
      <c r="B110" s="5" t="s">
        <v>115</v>
      </c>
      <c r="C110" s="5" t="s">
        <v>97</v>
      </c>
      <c r="D110" s="5" t="s">
        <v>186</v>
      </c>
      <c r="E110" s="5" t="s">
        <v>314</v>
      </c>
      <c r="F110" s="23">
        <v>46159</v>
      </c>
      <c r="G110" s="23">
        <v>46480</v>
      </c>
      <c r="H110" s="14">
        <v>1800</v>
      </c>
      <c r="I110" s="14">
        <v>671</v>
      </c>
      <c r="J110" s="24">
        <v>0.36</v>
      </c>
      <c r="K110" s="25">
        <f t="shared" si="3"/>
        <v>0.42367601246105918</v>
      </c>
      <c r="L110" s="26">
        <v>3.6</v>
      </c>
    </row>
    <row r="111" spans="1:12" x14ac:dyDescent="0.3">
      <c r="A111" s="5" t="s">
        <v>315</v>
      </c>
      <c r="B111" s="5" t="s">
        <v>137</v>
      </c>
      <c r="C111" s="5" t="s">
        <v>102</v>
      </c>
      <c r="D111" s="5" t="s">
        <v>116</v>
      </c>
      <c r="E111" s="5" t="s">
        <v>316</v>
      </c>
      <c r="F111" s="23">
        <v>46160</v>
      </c>
      <c r="G111" s="23">
        <v>46326</v>
      </c>
      <c r="H111" s="14">
        <v>1800</v>
      </c>
      <c r="I111" s="14">
        <v>1498</v>
      </c>
      <c r="J111" s="24">
        <v>0.87</v>
      </c>
      <c r="K111" s="25">
        <f t="shared" si="3"/>
        <v>0.81325301204819278</v>
      </c>
      <c r="L111" s="26">
        <v>3.9</v>
      </c>
    </row>
    <row r="112" spans="1:12" x14ac:dyDescent="0.3">
      <c r="A112" s="5" t="s">
        <v>317</v>
      </c>
      <c r="B112" s="5" t="s">
        <v>128</v>
      </c>
      <c r="C112" s="5" t="s">
        <v>97</v>
      </c>
      <c r="D112" s="5" t="s">
        <v>103</v>
      </c>
      <c r="E112" s="5" t="s">
        <v>318</v>
      </c>
      <c r="F112" s="23">
        <v>46161</v>
      </c>
      <c r="G112" s="23">
        <v>46354</v>
      </c>
      <c r="H112" s="14">
        <v>800</v>
      </c>
      <c r="I112" s="14">
        <v>475</v>
      </c>
      <c r="J112" s="24">
        <v>0.62</v>
      </c>
      <c r="K112" s="25">
        <f t="shared" si="3"/>
        <v>0.69430051813471505</v>
      </c>
      <c r="L112" s="26">
        <v>3.8</v>
      </c>
    </row>
    <row r="113" spans="1:12" x14ac:dyDescent="0.3">
      <c r="A113" s="5" t="s">
        <v>319</v>
      </c>
      <c r="B113" s="5" t="s">
        <v>91</v>
      </c>
      <c r="C113" s="5" t="s">
        <v>97</v>
      </c>
      <c r="D113" s="5" t="s">
        <v>103</v>
      </c>
      <c r="E113" s="5" t="s">
        <v>320</v>
      </c>
      <c r="F113" s="23">
        <v>46166</v>
      </c>
      <c r="G113" s="23">
        <v>46443</v>
      </c>
      <c r="H113" s="14">
        <v>4000</v>
      </c>
      <c r="I113" s="14">
        <v>2742</v>
      </c>
      <c r="J113" s="24">
        <v>0.62</v>
      </c>
      <c r="K113" s="25">
        <f t="shared" si="3"/>
        <v>0.46570397111913359</v>
      </c>
      <c r="L113" s="26">
        <v>3.3</v>
      </c>
    </row>
    <row r="114" spans="1:12" x14ac:dyDescent="0.3">
      <c r="A114" s="5" t="s">
        <v>321</v>
      </c>
      <c r="B114" s="5" t="s">
        <v>91</v>
      </c>
      <c r="C114" s="5" t="s">
        <v>92</v>
      </c>
      <c r="D114" s="5" t="s">
        <v>322</v>
      </c>
      <c r="E114" s="5" t="s">
        <v>94</v>
      </c>
      <c r="F114" s="23">
        <v>46166</v>
      </c>
      <c r="G114" s="23">
        <v>46402</v>
      </c>
      <c r="H114" s="14">
        <v>1200</v>
      </c>
      <c r="I114" s="14">
        <v>567</v>
      </c>
      <c r="J114" s="24">
        <v>0.44</v>
      </c>
      <c r="K114" s="25">
        <f t="shared" si="3"/>
        <v>0.54661016949152541</v>
      </c>
      <c r="L114" s="26">
        <v>3.6</v>
      </c>
    </row>
    <row r="115" spans="1:12" x14ac:dyDescent="0.3">
      <c r="A115" s="5" t="s">
        <v>323</v>
      </c>
      <c r="B115" s="5" t="s">
        <v>115</v>
      </c>
      <c r="C115" s="5" t="s">
        <v>97</v>
      </c>
      <c r="D115" s="5" t="s">
        <v>112</v>
      </c>
      <c r="E115" s="5" t="s">
        <v>94</v>
      </c>
      <c r="F115" s="23">
        <v>46167</v>
      </c>
      <c r="G115" s="23">
        <v>46510</v>
      </c>
      <c r="H115" s="14">
        <v>1000</v>
      </c>
      <c r="I115" s="14">
        <v>379</v>
      </c>
      <c r="J115" s="24">
        <v>0.37</v>
      </c>
      <c r="K115" s="25">
        <f t="shared" si="3"/>
        <v>0.37317784256559766</v>
      </c>
      <c r="L115" s="26">
        <v>3.9</v>
      </c>
    </row>
    <row r="116" spans="1:12" x14ac:dyDescent="0.3">
      <c r="A116" s="5" t="s">
        <v>324</v>
      </c>
      <c r="B116" s="5" t="s">
        <v>115</v>
      </c>
      <c r="C116" s="5" t="s">
        <v>92</v>
      </c>
      <c r="D116" s="5" t="s">
        <v>112</v>
      </c>
      <c r="E116" s="5" t="s">
        <v>325</v>
      </c>
      <c r="F116" s="23">
        <v>46169</v>
      </c>
      <c r="G116" s="23">
        <v>46413</v>
      </c>
      <c r="H116" s="14">
        <v>300</v>
      </c>
      <c r="I116" s="14">
        <v>123</v>
      </c>
      <c r="J116" s="24">
        <v>0.43</v>
      </c>
      <c r="K116" s="25">
        <f t="shared" si="3"/>
        <v>0.51639344262295084</v>
      </c>
      <c r="L116" s="26">
        <v>3.9</v>
      </c>
    </row>
    <row r="117" spans="1:12" x14ac:dyDescent="0.3">
      <c r="A117" s="5" t="s">
        <v>326</v>
      </c>
      <c r="B117" s="5" t="s">
        <v>128</v>
      </c>
      <c r="C117" s="5" t="s">
        <v>111</v>
      </c>
      <c r="D117" s="5" t="s">
        <v>327</v>
      </c>
      <c r="E117" s="5" t="s">
        <v>328</v>
      </c>
      <c r="F117" s="23">
        <v>46170</v>
      </c>
      <c r="G117" s="23">
        <v>46458</v>
      </c>
      <c r="H117" s="14">
        <v>2500</v>
      </c>
      <c r="I117" s="14">
        <v>638</v>
      </c>
      <c r="J117" s="24">
        <v>0.28000000000000003</v>
      </c>
      <c r="K117" s="25">
        <f t="shared" si="3"/>
        <v>0.43402777777777779</v>
      </c>
      <c r="L117" s="26">
        <v>4.3</v>
      </c>
    </row>
    <row r="118" spans="1:12" x14ac:dyDescent="0.3">
      <c r="A118" s="5" t="s">
        <v>329</v>
      </c>
      <c r="B118" s="5" t="s">
        <v>137</v>
      </c>
      <c r="C118" s="5" t="s">
        <v>92</v>
      </c>
      <c r="D118" s="5" t="s">
        <v>126</v>
      </c>
      <c r="E118" s="5" t="s">
        <v>330</v>
      </c>
      <c r="F118" s="23">
        <v>46170</v>
      </c>
      <c r="G118" s="23">
        <v>46555</v>
      </c>
      <c r="H118" s="14">
        <v>1500</v>
      </c>
      <c r="I118" s="14">
        <v>566</v>
      </c>
      <c r="J118" s="24">
        <v>0.34</v>
      </c>
      <c r="K118" s="25">
        <f t="shared" si="3"/>
        <v>0.32467532467532467</v>
      </c>
      <c r="L118" s="26">
        <v>4.7</v>
      </c>
    </row>
    <row r="119" spans="1:12" x14ac:dyDescent="0.3">
      <c r="A119" s="5" t="s">
        <v>331</v>
      </c>
      <c r="B119" s="5" t="s">
        <v>115</v>
      </c>
      <c r="C119" s="5" t="s">
        <v>97</v>
      </c>
      <c r="D119" s="5" t="s">
        <v>192</v>
      </c>
      <c r="E119" s="5" t="s">
        <v>332</v>
      </c>
      <c r="F119" s="23">
        <v>46176</v>
      </c>
      <c r="G119" s="23">
        <v>46379</v>
      </c>
      <c r="H119" s="14">
        <v>1000</v>
      </c>
      <c r="I119" s="14">
        <v>468</v>
      </c>
      <c r="J119" s="24">
        <v>0.45</v>
      </c>
      <c r="K119" s="25">
        <f t="shared" si="3"/>
        <v>0.58620689655172409</v>
      </c>
      <c r="L119" s="26">
        <v>4</v>
      </c>
    </row>
    <row r="120" spans="1:12" x14ac:dyDescent="0.3">
      <c r="A120" s="5" t="s">
        <v>333</v>
      </c>
      <c r="B120" s="5" t="s">
        <v>91</v>
      </c>
      <c r="C120" s="5" t="s">
        <v>111</v>
      </c>
      <c r="D120" s="5" t="s">
        <v>297</v>
      </c>
      <c r="E120" s="5" t="s">
        <v>294</v>
      </c>
      <c r="F120" s="23">
        <v>46177</v>
      </c>
      <c r="G120" s="23">
        <v>46430</v>
      </c>
      <c r="H120" s="14">
        <v>400</v>
      </c>
      <c r="I120" s="14">
        <v>161</v>
      </c>
      <c r="J120" s="24">
        <v>0.38</v>
      </c>
      <c r="K120" s="25">
        <f t="shared" si="3"/>
        <v>0.466403162055336</v>
      </c>
      <c r="L120" s="26">
        <v>3.7</v>
      </c>
    </row>
    <row r="121" spans="1:12" x14ac:dyDescent="0.3">
      <c r="A121" s="5" t="s">
        <v>334</v>
      </c>
      <c r="B121" s="5" t="s">
        <v>137</v>
      </c>
      <c r="C121" s="5" t="s">
        <v>97</v>
      </c>
      <c r="D121" s="5" t="s">
        <v>112</v>
      </c>
      <c r="E121" s="5" t="s">
        <v>260</v>
      </c>
      <c r="F121" s="23">
        <v>46177</v>
      </c>
      <c r="G121" s="23">
        <v>46510</v>
      </c>
      <c r="H121" s="14">
        <v>7000</v>
      </c>
      <c r="I121" s="14">
        <v>1832</v>
      </c>
      <c r="J121" s="24">
        <v>0.27</v>
      </c>
      <c r="K121" s="25">
        <f t="shared" si="3"/>
        <v>0.35435435435435436</v>
      </c>
      <c r="L121" s="26">
        <v>4.5</v>
      </c>
    </row>
    <row r="122" spans="1:12" x14ac:dyDescent="0.3">
      <c r="A122" s="5" t="s">
        <v>335</v>
      </c>
      <c r="B122" s="5" t="s">
        <v>137</v>
      </c>
      <c r="C122" s="5" t="s">
        <v>92</v>
      </c>
      <c r="D122" s="5" t="s">
        <v>229</v>
      </c>
      <c r="E122" s="5" t="s">
        <v>336</v>
      </c>
      <c r="F122" s="23">
        <v>46179</v>
      </c>
      <c r="G122" s="23">
        <v>46467</v>
      </c>
      <c r="H122" s="14">
        <v>500</v>
      </c>
      <c r="I122" s="14">
        <v>196</v>
      </c>
      <c r="J122" s="24">
        <v>0.44</v>
      </c>
      <c r="K122" s="25">
        <f t="shared" si="3"/>
        <v>0.40277777777777779</v>
      </c>
      <c r="L122" s="26">
        <v>4</v>
      </c>
    </row>
    <row r="123" spans="1:12" x14ac:dyDescent="0.3">
      <c r="A123" s="5" t="s">
        <v>337</v>
      </c>
      <c r="B123" s="5" t="s">
        <v>115</v>
      </c>
      <c r="C123" s="5" t="s">
        <v>102</v>
      </c>
      <c r="D123" s="5" t="s">
        <v>338</v>
      </c>
      <c r="E123" s="5" t="s">
        <v>339</v>
      </c>
      <c r="F123" s="23">
        <v>46184</v>
      </c>
      <c r="G123" s="23">
        <v>46508</v>
      </c>
      <c r="H123" s="14">
        <v>2500</v>
      </c>
      <c r="I123" s="14">
        <v>1040</v>
      </c>
      <c r="J123" s="24">
        <v>0.43</v>
      </c>
      <c r="K123" s="25">
        <f t="shared" si="3"/>
        <v>0.34259259259259262</v>
      </c>
      <c r="L123" s="26">
        <v>4.5</v>
      </c>
    </row>
    <row r="124" spans="1:12" x14ac:dyDescent="0.3">
      <c r="A124" s="5" t="s">
        <v>340</v>
      </c>
      <c r="B124" s="5" t="s">
        <v>91</v>
      </c>
      <c r="C124" s="5" t="s">
        <v>97</v>
      </c>
      <c r="D124" s="5" t="s">
        <v>284</v>
      </c>
      <c r="E124" s="5" t="s">
        <v>341</v>
      </c>
      <c r="F124" s="23">
        <v>46185</v>
      </c>
      <c r="G124" s="23">
        <v>46417</v>
      </c>
      <c r="H124" s="14">
        <v>7000</v>
      </c>
      <c r="I124" s="14">
        <v>3633</v>
      </c>
      <c r="J124" s="24">
        <v>0.45</v>
      </c>
      <c r="K124" s="25">
        <f t="shared" si="3"/>
        <v>0.47413793103448276</v>
      </c>
      <c r="L124" s="26">
        <v>3.9</v>
      </c>
    </row>
    <row r="125" spans="1:12" x14ac:dyDescent="0.3">
      <c r="A125" s="5" t="s">
        <v>342</v>
      </c>
      <c r="B125" s="5" t="s">
        <v>91</v>
      </c>
      <c r="C125" s="5" t="s">
        <v>97</v>
      </c>
      <c r="D125" s="5" t="s">
        <v>262</v>
      </c>
      <c r="E125" s="5" t="s">
        <v>343</v>
      </c>
      <c r="F125" s="23">
        <v>46188</v>
      </c>
      <c r="G125" s="23">
        <v>46335</v>
      </c>
      <c r="H125" s="14">
        <v>600</v>
      </c>
      <c r="I125" s="14">
        <v>303</v>
      </c>
      <c r="J125" s="24">
        <v>0.5</v>
      </c>
      <c r="K125" s="25">
        <f t="shared" si="3"/>
        <v>0.72789115646258506</v>
      </c>
      <c r="L125" s="26">
        <v>4</v>
      </c>
    </row>
    <row r="126" spans="1:12" x14ac:dyDescent="0.3">
      <c r="A126" s="5" t="s">
        <v>344</v>
      </c>
      <c r="B126" s="5" t="s">
        <v>115</v>
      </c>
      <c r="C126" s="5" t="s">
        <v>102</v>
      </c>
      <c r="D126" s="5" t="s">
        <v>171</v>
      </c>
      <c r="E126" s="5" t="s">
        <v>345</v>
      </c>
      <c r="F126" s="23">
        <v>46190</v>
      </c>
      <c r="G126" s="23">
        <v>46442</v>
      </c>
      <c r="H126" s="14">
        <v>300</v>
      </c>
      <c r="I126" s="14">
        <v>137</v>
      </c>
      <c r="J126" s="24">
        <v>0.46</v>
      </c>
      <c r="K126" s="25">
        <f t="shared" si="3"/>
        <v>0.41666666666666669</v>
      </c>
      <c r="L126" s="26">
        <v>4.9000000000000004</v>
      </c>
    </row>
    <row r="127" spans="1:12" x14ac:dyDescent="0.3">
      <c r="A127" s="5" t="s">
        <v>346</v>
      </c>
      <c r="B127" s="5" t="s">
        <v>91</v>
      </c>
      <c r="C127" s="5" t="s">
        <v>97</v>
      </c>
      <c r="D127" s="5" t="s">
        <v>109</v>
      </c>
      <c r="E127" s="5" t="s">
        <v>347</v>
      </c>
      <c r="F127" s="23">
        <v>46193</v>
      </c>
      <c r="G127" s="23">
        <v>46387</v>
      </c>
      <c r="H127" s="14">
        <v>600</v>
      </c>
      <c r="I127" s="14">
        <v>216</v>
      </c>
      <c r="J127" s="24">
        <v>0.33</v>
      </c>
      <c r="K127" s="25">
        <f t="shared" si="3"/>
        <v>0.52577319587628868</v>
      </c>
      <c r="L127" s="26">
        <v>4.2</v>
      </c>
    </row>
    <row r="128" spans="1:12" x14ac:dyDescent="0.3">
      <c r="A128" s="5" t="s">
        <v>348</v>
      </c>
      <c r="B128" s="5" t="s">
        <v>91</v>
      </c>
      <c r="C128" s="5" t="s">
        <v>97</v>
      </c>
      <c r="D128" s="5" t="s">
        <v>143</v>
      </c>
      <c r="E128" s="5" t="s">
        <v>349</v>
      </c>
      <c r="F128" s="23">
        <v>46197</v>
      </c>
      <c r="G128" s="23">
        <v>46548</v>
      </c>
      <c r="H128" s="14">
        <v>5500</v>
      </c>
      <c r="I128" s="14">
        <v>632</v>
      </c>
      <c r="J128" s="24">
        <v>0.09</v>
      </c>
      <c r="K128" s="25">
        <f t="shared" si="3"/>
        <v>0.27920227920227919</v>
      </c>
      <c r="L128" s="26">
        <v>3.7</v>
      </c>
    </row>
    <row r="129" spans="1:12" x14ac:dyDescent="0.3">
      <c r="A129" s="5" t="s">
        <v>350</v>
      </c>
      <c r="B129" s="5" t="s">
        <v>137</v>
      </c>
      <c r="C129" s="5" t="s">
        <v>92</v>
      </c>
      <c r="D129" s="5" t="s">
        <v>126</v>
      </c>
      <c r="E129" s="5" t="s">
        <v>94</v>
      </c>
      <c r="F129" s="23">
        <v>46197</v>
      </c>
      <c r="G129" s="23">
        <v>46433</v>
      </c>
      <c r="H129" s="14">
        <v>7000</v>
      </c>
      <c r="I129" s="14">
        <v>2069</v>
      </c>
      <c r="J129" s="24">
        <v>0.32</v>
      </c>
      <c r="K129" s="25">
        <f t="shared" si="3"/>
        <v>0.4152542372881356</v>
      </c>
      <c r="L129" s="26">
        <v>3.7</v>
      </c>
    </row>
    <row r="130" spans="1:12" x14ac:dyDescent="0.3">
      <c r="A130" s="5" t="s">
        <v>351</v>
      </c>
      <c r="B130" s="5" t="s">
        <v>128</v>
      </c>
      <c r="C130" s="5" t="s">
        <v>92</v>
      </c>
      <c r="D130" s="5" t="s">
        <v>189</v>
      </c>
      <c r="E130" s="5" t="s">
        <v>330</v>
      </c>
      <c r="F130" s="23">
        <v>46198</v>
      </c>
      <c r="G130" s="23">
        <v>46499</v>
      </c>
      <c r="H130" s="14">
        <v>400</v>
      </c>
      <c r="I130" s="14">
        <v>149</v>
      </c>
      <c r="J130" s="24">
        <v>0.35</v>
      </c>
      <c r="K130" s="25">
        <f t="shared" si="3"/>
        <v>0.32225913621262459</v>
      </c>
      <c r="L130" s="26">
        <v>5</v>
      </c>
    </row>
    <row r="131" spans="1:12" x14ac:dyDescent="0.3">
      <c r="A131" s="5" t="s">
        <v>352</v>
      </c>
      <c r="B131" s="5" t="s">
        <v>115</v>
      </c>
      <c r="C131" s="5" t="s">
        <v>92</v>
      </c>
      <c r="D131" s="5" t="s">
        <v>93</v>
      </c>
      <c r="E131" s="5" t="s">
        <v>195</v>
      </c>
      <c r="F131" s="23">
        <v>46205</v>
      </c>
      <c r="G131" s="23">
        <v>46448</v>
      </c>
      <c r="H131" s="14">
        <v>400</v>
      </c>
      <c r="I131" s="14">
        <v>132</v>
      </c>
      <c r="J131" s="24">
        <v>0.34</v>
      </c>
      <c r="K131" s="25">
        <f t="shared" si="3"/>
        <v>0.37037037037037035</v>
      </c>
      <c r="L131" s="26">
        <v>4</v>
      </c>
    </row>
    <row r="132" spans="1:12" x14ac:dyDescent="0.3">
      <c r="A132" s="5" t="s">
        <v>353</v>
      </c>
      <c r="B132" s="5" t="s">
        <v>115</v>
      </c>
      <c r="C132" s="5" t="s">
        <v>97</v>
      </c>
      <c r="D132" s="5" t="s">
        <v>109</v>
      </c>
      <c r="E132" s="5" t="s">
        <v>94</v>
      </c>
      <c r="F132" s="23">
        <v>46209</v>
      </c>
      <c r="G132" s="23">
        <v>46409</v>
      </c>
      <c r="H132" s="14">
        <v>3000</v>
      </c>
      <c r="I132" s="14">
        <v>826</v>
      </c>
      <c r="J132" s="24">
        <v>0.25</v>
      </c>
      <c r="K132" s="25">
        <f t="shared" si="3"/>
        <v>0.43</v>
      </c>
      <c r="L132" s="26">
        <v>4.0999999999999996</v>
      </c>
    </row>
    <row r="133" spans="1:12" x14ac:dyDescent="0.3">
      <c r="A133" s="5" t="s">
        <v>354</v>
      </c>
      <c r="B133" s="5" t="s">
        <v>91</v>
      </c>
      <c r="C133" s="5" t="s">
        <v>97</v>
      </c>
      <c r="D133" s="5" t="s">
        <v>116</v>
      </c>
      <c r="E133" s="5" t="s">
        <v>355</v>
      </c>
      <c r="F133" s="23">
        <v>46214</v>
      </c>
      <c r="G133" s="23">
        <v>46344</v>
      </c>
      <c r="H133" s="14">
        <v>800</v>
      </c>
      <c r="I133" s="14">
        <v>289</v>
      </c>
      <c r="J133" s="24">
        <v>0.43</v>
      </c>
      <c r="K133" s="25">
        <f t="shared" ref="K133:K154" si="4">MIN(1,MAX(0,(DATE(2026,9,30)-F133)/(G133-F133)))</f>
        <v>0.62307692307692308</v>
      </c>
      <c r="L133" s="26">
        <v>3.9</v>
      </c>
    </row>
    <row r="134" spans="1:12" x14ac:dyDescent="0.3">
      <c r="A134" s="5" t="s">
        <v>356</v>
      </c>
      <c r="B134" s="5" t="s">
        <v>96</v>
      </c>
      <c r="C134" s="5" t="s">
        <v>97</v>
      </c>
      <c r="D134" s="5" t="s">
        <v>284</v>
      </c>
      <c r="E134" s="5" t="s">
        <v>94</v>
      </c>
      <c r="F134" s="23">
        <v>46222</v>
      </c>
      <c r="G134" s="23">
        <v>46375</v>
      </c>
      <c r="H134" s="14">
        <v>7000</v>
      </c>
      <c r="I134" s="14">
        <v>1838</v>
      </c>
      <c r="J134" s="24">
        <v>0.26</v>
      </c>
      <c r="K134" s="25">
        <f t="shared" si="4"/>
        <v>0.47712418300653597</v>
      </c>
      <c r="L134" s="26">
        <v>4</v>
      </c>
    </row>
    <row r="135" spans="1:12" x14ac:dyDescent="0.3">
      <c r="A135" s="5" t="s">
        <v>357</v>
      </c>
      <c r="B135" s="5" t="s">
        <v>91</v>
      </c>
      <c r="C135" s="5" t="s">
        <v>102</v>
      </c>
      <c r="D135" s="5" t="s">
        <v>116</v>
      </c>
      <c r="E135" s="5" t="s">
        <v>358</v>
      </c>
      <c r="F135" s="23">
        <v>46222</v>
      </c>
      <c r="G135" s="23">
        <v>46317</v>
      </c>
      <c r="H135" s="14">
        <v>4000</v>
      </c>
      <c r="I135" s="14">
        <v>2340</v>
      </c>
      <c r="J135" s="24">
        <v>0.76</v>
      </c>
      <c r="K135" s="25">
        <f t="shared" si="4"/>
        <v>0.76842105263157889</v>
      </c>
      <c r="L135" s="26">
        <v>3.5</v>
      </c>
    </row>
    <row r="136" spans="1:12" x14ac:dyDescent="0.3">
      <c r="A136" s="5" t="s">
        <v>359</v>
      </c>
      <c r="B136" s="5" t="s">
        <v>137</v>
      </c>
      <c r="C136" s="5" t="s">
        <v>111</v>
      </c>
      <c r="D136" s="5" t="s">
        <v>297</v>
      </c>
      <c r="E136" s="5" t="s">
        <v>360</v>
      </c>
      <c r="F136" s="23">
        <v>46223</v>
      </c>
      <c r="G136" s="23">
        <v>46385</v>
      </c>
      <c r="H136" s="14">
        <v>1800</v>
      </c>
      <c r="I136" s="14">
        <v>760</v>
      </c>
      <c r="J136" s="24">
        <v>0.47</v>
      </c>
      <c r="K136" s="25">
        <f t="shared" si="4"/>
        <v>0.44444444444444442</v>
      </c>
      <c r="L136" s="26">
        <v>4.4000000000000004</v>
      </c>
    </row>
    <row r="137" spans="1:12" x14ac:dyDescent="0.3">
      <c r="A137" s="5" t="s">
        <v>361</v>
      </c>
      <c r="B137" s="5" t="s">
        <v>115</v>
      </c>
      <c r="C137" s="5" t="s">
        <v>102</v>
      </c>
      <c r="D137" s="5" t="s">
        <v>143</v>
      </c>
      <c r="E137" s="5" t="s">
        <v>174</v>
      </c>
      <c r="F137" s="23">
        <v>46227</v>
      </c>
      <c r="G137" s="23">
        <v>46367</v>
      </c>
      <c r="H137" s="14">
        <v>3000</v>
      </c>
      <c r="I137" s="14">
        <v>1241</v>
      </c>
      <c r="J137" s="24">
        <v>0.5</v>
      </c>
      <c r="K137" s="25">
        <f t="shared" si="4"/>
        <v>0.48571428571428571</v>
      </c>
      <c r="L137" s="26">
        <v>4.2</v>
      </c>
    </row>
    <row r="138" spans="1:12" x14ac:dyDescent="0.3">
      <c r="A138" s="5" t="s">
        <v>362</v>
      </c>
      <c r="B138" s="5" t="s">
        <v>96</v>
      </c>
      <c r="C138" s="5" t="s">
        <v>111</v>
      </c>
      <c r="D138" s="5" t="s">
        <v>98</v>
      </c>
      <c r="E138" s="5" t="s">
        <v>94</v>
      </c>
      <c r="F138" s="23">
        <v>46229</v>
      </c>
      <c r="G138" s="23">
        <v>46468</v>
      </c>
      <c r="H138" s="14">
        <v>1800</v>
      </c>
      <c r="I138" s="14">
        <v>451</v>
      </c>
      <c r="J138" s="24">
        <v>0.24</v>
      </c>
      <c r="K138" s="25">
        <f t="shared" si="4"/>
        <v>0.27615062761506276</v>
      </c>
      <c r="L138" s="26">
        <v>4.5999999999999996</v>
      </c>
    </row>
    <row r="139" spans="1:12" x14ac:dyDescent="0.3">
      <c r="A139" s="5" t="s">
        <v>363</v>
      </c>
      <c r="B139" s="5" t="s">
        <v>128</v>
      </c>
      <c r="C139" s="5" t="s">
        <v>97</v>
      </c>
      <c r="D139" s="5" t="s">
        <v>134</v>
      </c>
      <c r="E139" s="5" t="s">
        <v>364</v>
      </c>
      <c r="F139" s="23">
        <v>46235</v>
      </c>
      <c r="G139" s="23">
        <v>46440</v>
      </c>
      <c r="H139" s="14">
        <v>2500</v>
      </c>
      <c r="I139" s="14">
        <v>852</v>
      </c>
      <c r="J139" s="24">
        <v>0.34</v>
      </c>
      <c r="K139" s="25">
        <f t="shared" si="4"/>
        <v>0.29268292682926828</v>
      </c>
      <c r="L139" s="26">
        <v>4.4000000000000004</v>
      </c>
    </row>
    <row r="140" spans="1:12" x14ac:dyDescent="0.3">
      <c r="A140" s="5" t="s">
        <v>365</v>
      </c>
      <c r="B140" s="5" t="s">
        <v>91</v>
      </c>
      <c r="C140" s="5" t="s">
        <v>111</v>
      </c>
      <c r="D140" s="5" t="s">
        <v>327</v>
      </c>
      <c r="E140" s="5" t="s">
        <v>299</v>
      </c>
      <c r="F140" s="23">
        <v>46236</v>
      </c>
      <c r="G140" s="23">
        <v>46502</v>
      </c>
      <c r="H140" s="14">
        <v>5500</v>
      </c>
      <c r="I140" s="14">
        <v>885</v>
      </c>
      <c r="J140" s="24">
        <v>0.15</v>
      </c>
      <c r="K140" s="25">
        <f t="shared" si="4"/>
        <v>0.22180451127819548</v>
      </c>
      <c r="L140" s="26">
        <v>3.7</v>
      </c>
    </row>
    <row r="141" spans="1:12" x14ac:dyDescent="0.3">
      <c r="A141" s="5" t="s">
        <v>366</v>
      </c>
      <c r="B141" s="5" t="s">
        <v>137</v>
      </c>
      <c r="C141" s="5" t="s">
        <v>97</v>
      </c>
      <c r="D141" s="5" t="s">
        <v>146</v>
      </c>
      <c r="E141" s="5" t="s">
        <v>253</v>
      </c>
      <c r="F141" s="23">
        <v>46237</v>
      </c>
      <c r="G141" s="23">
        <v>46498</v>
      </c>
      <c r="H141" s="14">
        <v>800</v>
      </c>
      <c r="I141" s="14">
        <v>103</v>
      </c>
      <c r="J141" s="24">
        <v>0.15</v>
      </c>
      <c r="K141" s="25">
        <f t="shared" si="4"/>
        <v>0.22222222222222221</v>
      </c>
      <c r="L141" s="26">
        <v>3.8</v>
      </c>
    </row>
    <row r="142" spans="1:12" x14ac:dyDescent="0.3">
      <c r="A142" s="5" t="s">
        <v>367</v>
      </c>
      <c r="B142" s="5" t="s">
        <v>91</v>
      </c>
      <c r="C142" s="5" t="s">
        <v>97</v>
      </c>
      <c r="D142" s="5" t="s">
        <v>131</v>
      </c>
      <c r="E142" s="5" t="s">
        <v>368</v>
      </c>
      <c r="F142" s="23">
        <v>46238</v>
      </c>
      <c r="G142" s="23">
        <v>46514</v>
      </c>
      <c r="H142" s="14">
        <v>600</v>
      </c>
      <c r="I142" s="14">
        <v>61</v>
      </c>
      <c r="J142" s="24">
        <v>0.1</v>
      </c>
      <c r="K142" s="25">
        <f t="shared" si="4"/>
        <v>0.20652173913043478</v>
      </c>
      <c r="L142" s="26">
        <v>4.4000000000000004</v>
      </c>
    </row>
    <row r="143" spans="1:12" x14ac:dyDescent="0.3">
      <c r="A143" s="5" t="s">
        <v>369</v>
      </c>
      <c r="B143" s="5" t="s">
        <v>115</v>
      </c>
      <c r="C143" s="5" t="s">
        <v>102</v>
      </c>
      <c r="D143" s="5" t="s">
        <v>192</v>
      </c>
      <c r="E143" s="5" t="s">
        <v>370</v>
      </c>
      <c r="F143" s="23">
        <v>46240</v>
      </c>
      <c r="G143" s="23">
        <v>46397</v>
      </c>
      <c r="H143" s="14">
        <v>1200</v>
      </c>
      <c r="I143" s="14">
        <v>448</v>
      </c>
      <c r="J143" s="24">
        <v>0.36</v>
      </c>
      <c r="K143" s="25">
        <f t="shared" si="4"/>
        <v>0.3503184713375796</v>
      </c>
      <c r="L143" s="26">
        <v>4.5999999999999996</v>
      </c>
    </row>
    <row r="144" spans="1:12" x14ac:dyDescent="0.3">
      <c r="A144" s="5" t="s">
        <v>371</v>
      </c>
      <c r="B144" s="5" t="s">
        <v>91</v>
      </c>
      <c r="C144" s="5" t="s">
        <v>102</v>
      </c>
      <c r="D144" s="5" t="s">
        <v>126</v>
      </c>
      <c r="E144" s="5" t="s">
        <v>372</v>
      </c>
      <c r="F144" s="23">
        <v>46241</v>
      </c>
      <c r="G144" s="23">
        <v>46401</v>
      </c>
      <c r="H144" s="14">
        <v>800</v>
      </c>
      <c r="I144" s="14">
        <v>310</v>
      </c>
      <c r="J144" s="24">
        <v>0.36</v>
      </c>
      <c r="K144" s="25">
        <f t="shared" si="4"/>
        <v>0.33750000000000002</v>
      </c>
      <c r="L144" s="26">
        <v>3.9</v>
      </c>
    </row>
    <row r="145" spans="1:12" x14ac:dyDescent="0.3">
      <c r="A145" s="5" t="s">
        <v>373</v>
      </c>
      <c r="B145" s="5" t="s">
        <v>115</v>
      </c>
      <c r="C145" s="5" t="s">
        <v>102</v>
      </c>
      <c r="D145" s="5" t="s">
        <v>197</v>
      </c>
      <c r="E145" s="5" t="s">
        <v>374</v>
      </c>
      <c r="F145" s="23">
        <v>46246</v>
      </c>
      <c r="G145" s="23">
        <v>46329</v>
      </c>
      <c r="H145" s="14">
        <v>5500</v>
      </c>
      <c r="I145" s="14">
        <v>3942</v>
      </c>
      <c r="J145" s="24">
        <v>0.67</v>
      </c>
      <c r="K145" s="25">
        <f t="shared" si="4"/>
        <v>0.59036144578313254</v>
      </c>
      <c r="L145" s="26">
        <v>3.6</v>
      </c>
    </row>
    <row r="146" spans="1:12" x14ac:dyDescent="0.3">
      <c r="A146" s="5" t="s">
        <v>375</v>
      </c>
      <c r="B146" s="5" t="s">
        <v>91</v>
      </c>
      <c r="C146" s="5" t="s">
        <v>102</v>
      </c>
      <c r="D146" s="5" t="s">
        <v>121</v>
      </c>
      <c r="E146" s="5" t="s">
        <v>376</v>
      </c>
      <c r="F146" s="23">
        <v>46249</v>
      </c>
      <c r="G146" s="23">
        <v>46401</v>
      </c>
      <c r="H146" s="14">
        <v>600</v>
      </c>
      <c r="I146" s="14">
        <v>256</v>
      </c>
      <c r="J146" s="24">
        <v>0.43</v>
      </c>
      <c r="K146" s="25">
        <f t="shared" si="4"/>
        <v>0.30263157894736842</v>
      </c>
      <c r="L146" s="26">
        <v>3.8</v>
      </c>
    </row>
    <row r="147" spans="1:12" x14ac:dyDescent="0.3">
      <c r="A147" s="5" t="s">
        <v>377</v>
      </c>
      <c r="B147" s="5" t="s">
        <v>137</v>
      </c>
      <c r="C147" s="5" t="s">
        <v>111</v>
      </c>
      <c r="D147" s="5" t="s">
        <v>338</v>
      </c>
      <c r="E147" s="5" t="s">
        <v>176</v>
      </c>
      <c r="F147" s="23">
        <v>46250</v>
      </c>
      <c r="G147" s="23">
        <v>46320</v>
      </c>
      <c r="H147" s="14">
        <v>2500</v>
      </c>
      <c r="I147" s="14">
        <v>1655</v>
      </c>
      <c r="J147" s="24">
        <v>0.65</v>
      </c>
      <c r="K147" s="25">
        <f t="shared" si="4"/>
        <v>0.6428571428571429</v>
      </c>
      <c r="L147" s="26">
        <v>4.5999999999999996</v>
      </c>
    </row>
    <row r="148" spans="1:12" x14ac:dyDescent="0.3">
      <c r="A148" s="5" t="s">
        <v>378</v>
      </c>
      <c r="B148" s="5" t="s">
        <v>115</v>
      </c>
      <c r="C148" s="5" t="s">
        <v>102</v>
      </c>
      <c r="D148" s="5" t="s">
        <v>98</v>
      </c>
      <c r="E148" s="5" t="s">
        <v>341</v>
      </c>
      <c r="F148" s="23">
        <v>46251</v>
      </c>
      <c r="G148" s="23">
        <v>46539</v>
      </c>
      <c r="H148" s="14">
        <v>5500</v>
      </c>
      <c r="I148" s="14">
        <v>822</v>
      </c>
      <c r="J148" s="24">
        <v>0.14000000000000001</v>
      </c>
      <c r="K148" s="25">
        <f t="shared" si="4"/>
        <v>0.15277777777777779</v>
      </c>
      <c r="L148" s="26">
        <v>4</v>
      </c>
    </row>
    <row r="149" spans="1:12" x14ac:dyDescent="0.3">
      <c r="A149" s="5" t="s">
        <v>379</v>
      </c>
      <c r="B149" s="5" t="s">
        <v>115</v>
      </c>
      <c r="C149" s="5" t="s">
        <v>97</v>
      </c>
      <c r="D149" s="5" t="s">
        <v>146</v>
      </c>
      <c r="E149" s="5" t="s">
        <v>380</v>
      </c>
      <c r="F149" s="23">
        <v>46252</v>
      </c>
      <c r="G149" s="23">
        <v>46504</v>
      </c>
      <c r="H149" s="14">
        <v>5500</v>
      </c>
      <c r="I149" s="14">
        <v>891</v>
      </c>
      <c r="J149" s="24">
        <v>0.14000000000000001</v>
      </c>
      <c r="K149" s="25">
        <f t="shared" si="4"/>
        <v>0.17063492063492064</v>
      </c>
      <c r="L149" s="26">
        <v>3.5</v>
      </c>
    </row>
    <row r="150" spans="1:12" x14ac:dyDescent="0.3">
      <c r="A150" s="5" t="s">
        <v>381</v>
      </c>
      <c r="B150" s="5" t="s">
        <v>128</v>
      </c>
      <c r="C150" s="5" t="s">
        <v>92</v>
      </c>
      <c r="D150" s="5" t="s">
        <v>116</v>
      </c>
      <c r="E150" s="5" t="s">
        <v>94</v>
      </c>
      <c r="F150" s="23">
        <v>46252</v>
      </c>
      <c r="G150" s="23">
        <v>46401</v>
      </c>
      <c r="H150" s="14">
        <v>1800</v>
      </c>
      <c r="I150" s="14">
        <v>418</v>
      </c>
      <c r="J150" s="24">
        <v>0.24</v>
      </c>
      <c r="K150" s="25">
        <f t="shared" si="4"/>
        <v>0.28859060402684567</v>
      </c>
      <c r="L150" s="26">
        <v>3.3</v>
      </c>
    </row>
    <row r="151" spans="1:12" x14ac:dyDescent="0.3">
      <c r="A151" s="5" t="s">
        <v>382</v>
      </c>
      <c r="B151" s="5" t="s">
        <v>91</v>
      </c>
      <c r="C151" s="5" t="s">
        <v>97</v>
      </c>
      <c r="D151" s="5" t="s">
        <v>109</v>
      </c>
      <c r="E151" s="5" t="s">
        <v>294</v>
      </c>
      <c r="F151" s="23">
        <v>46253</v>
      </c>
      <c r="G151" s="23">
        <v>46468</v>
      </c>
      <c r="H151" s="14">
        <v>4000</v>
      </c>
      <c r="I151" s="14">
        <v>577</v>
      </c>
      <c r="J151" s="24">
        <v>0.14000000000000001</v>
      </c>
      <c r="K151" s="25">
        <f t="shared" si="4"/>
        <v>0.19534883720930232</v>
      </c>
      <c r="L151" s="26">
        <v>3.2</v>
      </c>
    </row>
    <row r="152" spans="1:12" x14ac:dyDescent="0.3">
      <c r="A152" s="5" t="s">
        <v>383</v>
      </c>
      <c r="B152" s="5" t="s">
        <v>91</v>
      </c>
      <c r="C152" s="5" t="s">
        <v>111</v>
      </c>
      <c r="D152" s="5" t="s">
        <v>152</v>
      </c>
      <c r="E152" s="5" t="s">
        <v>318</v>
      </c>
      <c r="F152" s="23">
        <v>46253</v>
      </c>
      <c r="G152" s="23">
        <v>46477</v>
      </c>
      <c r="H152" s="14">
        <v>1200</v>
      </c>
      <c r="I152" s="14">
        <v>207</v>
      </c>
      <c r="J152" s="24">
        <v>0.14000000000000001</v>
      </c>
      <c r="K152" s="25">
        <f t="shared" si="4"/>
        <v>0.1875</v>
      </c>
      <c r="L152" s="26">
        <v>3.8</v>
      </c>
    </row>
    <row r="153" spans="1:12" x14ac:dyDescent="0.3">
      <c r="A153" s="5" t="s">
        <v>384</v>
      </c>
      <c r="B153" s="5" t="s">
        <v>91</v>
      </c>
      <c r="C153" s="5" t="s">
        <v>92</v>
      </c>
      <c r="D153" s="5" t="s">
        <v>126</v>
      </c>
      <c r="E153" s="5" t="s">
        <v>195</v>
      </c>
      <c r="F153" s="23">
        <v>46254</v>
      </c>
      <c r="G153" s="23">
        <v>46464</v>
      </c>
      <c r="H153" s="14">
        <v>600</v>
      </c>
      <c r="I153" s="14">
        <v>200</v>
      </c>
      <c r="J153" s="24">
        <v>0.33</v>
      </c>
      <c r="K153" s="25">
        <f t="shared" si="4"/>
        <v>0.19523809523809524</v>
      </c>
      <c r="L153" s="26">
        <v>4.2</v>
      </c>
    </row>
    <row r="154" spans="1:12" x14ac:dyDescent="0.3">
      <c r="A154" s="5" t="s">
        <v>385</v>
      </c>
      <c r="B154" s="5" t="s">
        <v>91</v>
      </c>
      <c r="C154" s="5" t="s">
        <v>102</v>
      </c>
      <c r="D154" s="5" t="s">
        <v>112</v>
      </c>
      <c r="E154" s="5" t="s">
        <v>386</v>
      </c>
      <c r="F154" s="23">
        <v>46254</v>
      </c>
      <c r="G154" s="23">
        <v>46531</v>
      </c>
      <c r="H154" s="14">
        <v>1000</v>
      </c>
      <c r="I154" s="14">
        <v>46</v>
      </c>
      <c r="J154" s="24">
        <v>0.06</v>
      </c>
      <c r="K154" s="25">
        <f t="shared" si="4"/>
        <v>0.14801444043321299</v>
      </c>
      <c r="L154" s="26">
        <v>3.5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3" width="12" customWidth="1"/>
    <col min="4" max="4" width="14" customWidth="1"/>
    <col min="5" max="5" width="12" customWidth="1"/>
    <col min="6" max="6" width="16" customWidth="1"/>
    <col min="7" max="7" width="11" customWidth="1"/>
    <col min="8" max="8" width="12" customWidth="1"/>
    <col min="9" max="9" width="8" customWidth="1"/>
    <col min="10" max="10" width="15" customWidth="1"/>
    <col min="11" max="11" width="12" customWidth="1"/>
  </cols>
  <sheetData>
    <row r="1" spans="1:11" ht="17.399999999999999" x14ac:dyDescent="0.3">
      <c r="A1" s="1" t="s">
        <v>387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388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1.95" customHeight="1" x14ac:dyDescent="0.3">
      <c r="A4" s="4" t="s">
        <v>79</v>
      </c>
      <c r="B4" s="4" t="s">
        <v>389</v>
      </c>
      <c r="C4" s="4" t="s">
        <v>390</v>
      </c>
      <c r="D4" s="4" t="s">
        <v>16</v>
      </c>
      <c r="E4" s="4" t="s">
        <v>391</v>
      </c>
      <c r="F4" s="4" t="s">
        <v>392</v>
      </c>
      <c r="G4" s="4" t="s">
        <v>393</v>
      </c>
      <c r="H4" s="4" t="s">
        <v>394</v>
      </c>
      <c r="I4" s="4" t="s">
        <v>395</v>
      </c>
      <c r="J4" s="4" t="s">
        <v>396</v>
      </c>
      <c r="K4" s="4" t="s">
        <v>397</v>
      </c>
    </row>
    <row r="5" spans="1:11" x14ac:dyDescent="0.3">
      <c r="A5" s="5" t="s">
        <v>115</v>
      </c>
      <c r="B5" s="14">
        <v>380</v>
      </c>
      <c r="C5" s="14">
        <v>17</v>
      </c>
      <c r="D5" s="16">
        <f t="shared" ref="D5:D11" si="0">IFERROR(C5*4/B5,0)</f>
        <v>0.17894736842105263</v>
      </c>
      <c r="E5" s="14">
        <v>146</v>
      </c>
      <c r="F5" s="21">
        <f t="shared" ref="F5:F11" si="1">IFERROR(E5*1000/B5,0)</f>
        <v>384.21052631578948</v>
      </c>
      <c r="G5" s="14">
        <v>115</v>
      </c>
      <c r="H5" s="16">
        <f t="shared" ref="H5:H11" si="2">IFERROR((E5-G5)/E5,0)</f>
        <v>0.21232876712328766</v>
      </c>
      <c r="I5" s="14">
        <v>38</v>
      </c>
      <c r="J5" s="20">
        <v>13.1</v>
      </c>
      <c r="K5" s="6">
        <f>COUNTIF('Danh sách dự án'!$B$5:$B$154,$A5)</f>
        <v>46</v>
      </c>
    </row>
    <row r="6" spans="1:11" x14ac:dyDescent="0.3">
      <c r="A6" s="5" t="s">
        <v>91</v>
      </c>
      <c r="B6" s="14">
        <v>410</v>
      </c>
      <c r="C6" s="14">
        <v>27</v>
      </c>
      <c r="D6" s="16">
        <f t="shared" si="0"/>
        <v>0.26341463414634148</v>
      </c>
      <c r="E6" s="14">
        <v>160</v>
      </c>
      <c r="F6" s="21">
        <f t="shared" si="1"/>
        <v>390.2439024390244</v>
      </c>
      <c r="G6" s="14">
        <v>136</v>
      </c>
      <c r="H6" s="16">
        <f t="shared" si="2"/>
        <v>0.15</v>
      </c>
      <c r="I6" s="14">
        <v>29</v>
      </c>
      <c r="J6" s="20">
        <v>18.600000000000001</v>
      </c>
      <c r="K6" s="6">
        <f>COUNTIF('Danh sách dự án'!$B$5:$B$154,$A6)</f>
        <v>52</v>
      </c>
    </row>
    <row r="7" spans="1:11" x14ac:dyDescent="0.3">
      <c r="A7" s="5" t="s">
        <v>128</v>
      </c>
      <c r="B7" s="14">
        <v>130</v>
      </c>
      <c r="C7" s="14">
        <v>4</v>
      </c>
      <c r="D7" s="16">
        <f t="shared" si="0"/>
        <v>0.12307692307692308</v>
      </c>
      <c r="E7" s="14">
        <v>46</v>
      </c>
      <c r="F7" s="21">
        <f t="shared" si="1"/>
        <v>353.84615384615387</v>
      </c>
      <c r="G7" s="14">
        <v>35</v>
      </c>
      <c r="H7" s="16">
        <f t="shared" si="2"/>
        <v>0.2391304347826087</v>
      </c>
      <c r="I7" s="14">
        <v>47</v>
      </c>
      <c r="J7" s="20">
        <v>9.1999999999999993</v>
      </c>
      <c r="K7" s="6">
        <f>COUNTIF('Danh sách dự án'!$B$5:$B$154,$A7)</f>
        <v>16</v>
      </c>
    </row>
    <row r="8" spans="1:11" x14ac:dyDescent="0.3">
      <c r="A8" s="5" t="s">
        <v>96</v>
      </c>
      <c r="B8" s="14">
        <v>82</v>
      </c>
      <c r="C8" s="14">
        <v>3</v>
      </c>
      <c r="D8" s="16">
        <f t="shared" si="0"/>
        <v>0.14634146341463414</v>
      </c>
      <c r="E8" s="14">
        <v>28</v>
      </c>
      <c r="F8" s="21">
        <f t="shared" si="1"/>
        <v>341.46341463414632</v>
      </c>
      <c r="G8" s="14">
        <v>22</v>
      </c>
      <c r="H8" s="16">
        <f t="shared" si="2"/>
        <v>0.21428571428571427</v>
      </c>
      <c r="I8" s="14">
        <v>40</v>
      </c>
      <c r="J8" s="20">
        <v>10.4</v>
      </c>
      <c r="K8" s="6">
        <f>COUNTIF('Danh sách dự án'!$B$5:$B$154,$A8)</f>
        <v>11</v>
      </c>
    </row>
    <row r="9" spans="1:11" x14ac:dyDescent="0.3">
      <c r="A9" s="5" t="s">
        <v>101</v>
      </c>
      <c r="B9" s="14">
        <v>70</v>
      </c>
      <c r="C9" s="14">
        <v>3</v>
      </c>
      <c r="D9" s="16">
        <f t="shared" si="0"/>
        <v>0.17142857142857143</v>
      </c>
      <c r="E9" s="14">
        <v>22</v>
      </c>
      <c r="F9" s="21">
        <f t="shared" si="1"/>
        <v>314.28571428571428</v>
      </c>
      <c r="G9" s="14">
        <v>18</v>
      </c>
      <c r="H9" s="16">
        <f t="shared" si="2"/>
        <v>0.18181818181818182</v>
      </c>
      <c r="I9" s="14">
        <v>42</v>
      </c>
      <c r="J9" s="20">
        <v>11.8</v>
      </c>
      <c r="K9" s="6">
        <f>COUNTIF('Danh sách dự án'!$B$5:$B$154,$A9)</f>
        <v>10</v>
      </c>
    </row>
    <row r="10" spans="1:11" x14ac:dyDescent="0.3">
      <c r="A10" s="5" t="s">
        <v>137</v>
      </c>
      <c r="B10" s="14">
        <v>90</v>
      </c>
      <c r="C10" s="14">
        <v>4</v>
      </c>
      <c r="D10" s="16">
        <f t="shared" si="0"/>
        <v>0.17777777777777778</v>
      </c>
      <c r="E10" s="14">
        <v>30</v>
      </c>
      <c r="F10" s="21">
        <f t="shared" si="1"/>
        <v>333.33333333333331</v>
      </c>
      <c r="G10" s="14">
        <v>22</v>
      </c>
      <c r="H10" s="16">
        <f t="shared" si="2"/>
        <v>0.26666666666666666</v>
      </c>
      <c r="I10" s="14">
        <v>35</v>
      </c>
      <c r="J10" s="20">
        <v>12.5</v>
      </c>
      <c r="K10" s="6">
        <f>COUNTIF('Danh sách dự án'!$B$5:$B$154,$A10)</f>
        <v>15</v>
      </c>
    </row>
    <row r="11" spans="1:11" x14ac:dyDescent="0.3">
      <c r="A11" s="17" t="s">
        <v>398</v>
      </c>
      <c r="B11" s="18">
        <f>SUM(B5:B10)</f>
        <v>1162</v>
      </c>
      <c r="C11" s="18">
        <f>SUM(C5:C10)</f>
        <v>58</v>
      </c>
      <c r="D11" s="22">
        <f t="shared" si="0"/>
        <v>0.19965576592082615</v>
      </c>
      <c r="E11" s="18">
        <f>SUM(E5:E10)</f>
        <v>432</v>
      </c>
      <c r="F11" s="27">
        <f t="shared" si="1"/>
        <v>371.77280550774526</v>
      </c>
      <c r="G11" s="18">
        <f>SUM(G5:G10)</f>
        <v>348</v>
      </c>
      <c r="H11" s="22">
        <f t="shared" si="2"/>
        <v>0.19444444444444445</v>
      </c>
      <c r="I11" s="2"/>
      <c r="J11" s="2"/>
      <c r="K11" s="18">
        <f>SUM(K5:K10)</f>
        <v>150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15" customWidth="1"/>
    <col min="3" max="3" width="16" customWidth="1"/>
    <col min="4" max="5" width="14" customWidth="1"/>
    <col min="6" max="6" width="8" customWidth="1"/>
    <col min="7" max="7" width="14" customWidth="1"/>
    <col min="8" max="8" width="18" customWidth="1"/>
  </cols>
  <sheetData>
    <row r="1" spans="1:8" ht="17.399999999999999" x14ac:dyDescent="0.3">
      <c r="A1" s="1" t="s">
        <v>399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400</v>
      </c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48" customHeight="1" x14ac:dyDescent="0.3">
      <c r="A4" s="4" t="s">
        <v>401</v>
      </c>
      <c r="B4" s="4" t="s">
        <v>402</v>
      </c>
      <c r="C4" s="4" t="s">
        <v>403</v>
      </c>
      <c r="D4" s="4" t="s">
        <v>11</v>
      </c>
      <c r="E4" s="4" t="s">
        <v>16</v>
      </c>
      <c r="F4" s="4" t="s">
        <v>395</v>
      </c>
      <c r="G4" s="4" t="s">
        <v>404</v>
      </c>
      <c r="H4" s="4" t="s">
        <v>42</v>
      </c>
    </row>
    <row r="5" spans="1:8" x14ac:dyDescent="0.3">
      <c r="A5" s="5" t="s">
        <v>405</v>
      </c>
      <c r="B5" s="14">
        <v>1240</v>
      </c>
      <c r="C5" s="19">
        <v>0.11</v>
      </c>
      <c r="D5" s="19">
        <v>0.23</v>
      </c>
      <c r="E5" s="19">
        <v>0.12</v>
      </c>
      <c r="F5" s="14">
        <v>44</v>
      </c>
      <c r="G5" s="14">
        <v>36</v>
      </c>
      <c r="H5" s="19">
        <v>0.18</v>
      </c>
    </row>
    <row r="6" spans="1:8" x14ac:dyDescent="0.3">
      <c r="A6" s="5" t="s">
        <v>406</v>
      </c>
      <c r="B6" s="14">
        <v>990</v>
      </c>
      <c r="C6" s="19">
        <v>0.09</v>
      </c>
      <c r="D6" s="19">
        <v>0.21</v>
      </c>
      <c r="E6" s="19">
        <v>0.13500000000000001</v>
      </c>
      <c r="F6" s="14">
        <v>40</v>
      </c>
      <c r="G6" s="14">
        <v>30</v>
      </c>
      <c r="H6" s="19">
        <v>0.22</v>
      </c>
    </row>
    <row r="7" spans="1:8" x14ac:dyDescent="0.3">
      <c r="A7" s="5" t="s">
        <v>407</v>
      </c>
      <c r="B7" s="14">
        <v>1580</v>
      </c>
      <c r="C7" s="19">
        <v>0.14000000000000001</v>
      </c>
      <c r="D7" s="19">
        <v>0.26</v>
      </c>
      <c r="E7" s="19">
        <v>0.15</v>
      </c>
      <c r="F7" s="14">
        <v>48</v>
      </c>
      <c r="G7" s="14">
        <v>42</v>
      </c>
      <c r="H7" s="19">
        <v>0.15</v>
      </c>
    </row>
    <row r="8" spans="1:8" x14ac:dyDescent="0.3">
      <c r="A8" s="5" t="s">
        <v>408</v>
      </c>
      <c r="B8" s="14">
        <v>735</v>
      </c>
      <c r="C8" s="19">
        <v>0.06</v>
      </c>
      <c r="D8" s="19">
        <v>0.18</v>
      </c>
      <c r="E8" s="19">
        <v>0.16</v>
      </c>
      <c r="F8" s="14">
        <v>35</v>
      </c>
      <c r="G8" s="14">
        <v>24</v>
      </c>
      <c r="H8" s="19">
        <v>0.27</v>
      </c>
    </row>
    <row r="9" spans="1:8" x14ac:dyDescent="0.3">
      <c r="A9" s="5" t="s">
        <v>409</v>
      </c>
      <c r="B9" s="14">
        <v>1110</v>
      </c>
      <c r="C9" s="19">
        <v>0.1</v>
      </c>
      <c r="D9" s="19">
        <v>0.22</v>
      </c>
      <c r="E9" s="19">
        <v>0.13</v>
      </c>
      <c r="F9" s="14">
        <v>46</v>
      </c>
      <c r="G9" s="14">
        <v>32</v>
      </c>
      <c r="H9" s="19">
        <v>0.2</v>
      </c>
    </row>
    <row r="10" spans="1:8" x14ac:dyDescent="0.3">
      <c r="A10" s="28" t="s">
        <v>410</v>
      </c>
      <c r="B10" s="29">
        <f>'Doanh thu tháng'!E14</f>
        <v>1245</v>
      </c>
      <c r="C10" s="30">
        <v>0.08</v>
      </c>
      <c r="D10" s="31">
        <f>PL_Budget_Actual!D18</f>
        <v>0.19444444444444445</v>
      </c>
      <c r="E10" s="31">
        <f>PL_Budget_Actual!D26</f>
        <v>0.19965576592082615</v>
      </c>
      <c r="F10" s="29">
        <f>PL_Budget_Actual!D22</f>
        <v>36</v>
      </c>
      <c r="G10" s="29">
        <f>PL_Budget_Actual!D28*4</f>
        <v>19.2</v>
      </c>
      <c r="H10" s="31">
        <f>PL_Budget_Actual!D21</f>
        <v>0.36</v>
      </c>
    </row>
    <row r="11" spans="1:8" x14ac:dyDescent="0.3">
      <c r="A11" s="17" t="s">
        <v>411</v>
      </c>
      <c r="B11" s="18">
        <f t="shared" ref="B11:H11" si="0">MEDIAN(B5:B9)</f>
        <v>1110</v>
      </c>
      <c r="C11" s="22">
        <f t="shared" si="0"/>
        <v>0.1</v>
      </c>
      <c r="D11" s="22">
        <f t="shared" si="0"/>
        <v>0.22</v>
      </c>
      <c r="E11" s="22">
        <f t="shared" si="0"/>
        <v>0.13500000000000001</v>
      </c>
      <c r="F11" s="18">
        <f t="shared" si="0"/>
        <v>44</v>
      </c>
      <c r="G11" s="18">
        <f t="shared" si="0"/>
        <v>32</v>
      </c>
      <c r="H11" s="22">
        <f t="shared" si="0"/>
        <v>0.2</v>
      </c>
    </row>
    <row r="12" spans="1:8" x14ac:dyDescent="0.3">
      <c r="A12" s="17" t="s">
        <v>412</v>
      </c>
      <c r="B12" s="2"/>
      <c r="C12" s="7">
        <f t="shared" ref="C12:H12" si="1">C10-C11</f>
        <v>-2.0000000000000004E-2</v>
      </c>
      <c r="D12" s="7">
        <f t="shared" si="1"/>
        <v>-2.5555555555555554E-2</v>
      </c>
      <c r="E12" s="7">
        <f t="shared" si="1"/>
        <v>6.4655765920826141E-2</v>
      </c>
      <c r="F12" s="32">
        <f t="shared" si="1"/>
        <v>-8</v>
      </c>
      <c r="G12" s="32">
        <f t="shared" si="1"/>
        <v>-12.8</v>
      </c>
      <c r="H12" s="7">
        <f t="shared" si="1"/>
        <v>0.15999999999999998</v>
      </c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3" t="s">
        <v>413</v>
      </c>
      <c r="B14" s="2"/>
      <c r="C14" s="2"/>
      <c r="D14" s="2"/>
      <c r="E14" s="2"/>
      <c r="F14" s="2"/>
      <c r="G14" s="2"/>
      <c r="H14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 Q3</vt:lpstr>
      <vt:lpstr>PL_Budget_Actual</vt:lpstr>
      <vt:lpstr>Doanh thu tháng</vt:lpstr>
      <vt:lpstr>Danh sách dự án</vt:lpstr>
      <vt:lpstr>Theo văn phòng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Le</cp:lastModifiedBy>
  <dcterms:created xsi:type="dcterms:W3CDTF">2026-10-22T08:25:15Z</dcterms:created>
  <dcterms:modified xsi:type="dcterms:W3CDTF">2026-10-22T08:25:17Z</dcterms:modified>
</cp:coreProperties>
</file>